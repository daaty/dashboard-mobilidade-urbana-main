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IDAS CONCLUIDAS" sheetId="1" r:id="rId4"/>
  </sheets>
  <definedNames/>
  <calcPr/>
</workbook>
</file>

<file path=xl/sharedStrings.xml><?xml version="1.0" encoding="utf-8"?>
<sst xmlns="http://schemas.openxmlformats.org/spreadsheetml/2006/main" count="1017" uniqueCount="198">
  <si>
    <t>Engagement ID</t>
  </si>
  <si>
    <t>Driver Name</t>
  </si>
  <si>
    <t>User Name</t>
  </si>
  <si>
    <t>User Phone No</t>
  </si>
  <si>
    <t>Pickup</t>
  </si>
  <si>
    <t>Drop</t>
  </si>
  <si>
    <t>Pickup Time</t>
  </si>
  <si>
    <t>Drop Time</t>
  </si>
  <si>
    <t>Vehicle Type</t>
  </si>
  <si>
    <t>Status</t>
  </si>
  <si>
    <t>Schedule Id</t>
  </si>
  <si>
    <t>Manual Ride</t>
  </si>
  <si>
    <t>Rating</t>
  </si>
  <si>
    <t>Feedback Comments</t>
  </si>
  <si>
    <t>Feedback Reasons</t>
  </si>
  <si>
    <t>City</t>
  </si>
  <si>
    <t>Rogério Oliveira Lima</t>
  </si>
  <si>
    <t>Ana Carolina Diefenthaler Diefenthaler</t>
  </si>
  <si>
    <t>Machadão Atacadista Matupá - Supermercado - Avenida Vítor F Donine - Zona Industrial, Matupá - Estado de Mato Grosso, Brasil</t>
  </si>
  <si>
    <t>1612, Rua 9, União, Matupá, Brasil</t>
  </si>
  <si>
    <t>OFEREÇA SEU PREÇO</t>
  </si>
  <si>
    <t>Concluído</t>
  </si>
  <si>
    <t>--</t>
  </si>
  <si>
    <t>-</t>
  </si>
  <si>
    <t>MATUPA</t>
  </si>
  <si>
    <t>Elindo Julião Severino</t>
  </si>
  <si>
    <t>Marcelo Fraccari Canova</t>
  </si>
  <si>
    <t>Av. Vítor F. Donine, 2823 - União, Matupá - MT</t>
  </si>
  <si>
    <t>POPULAR</t>
  </si>
  <si>
    <t>Passeio manual</t>
  </si>
  <si>
    <t>Bruno Silva</t>
  </si>
  <si>
    <t>Usuário</t>
  </si>
  <si>
    <t>R. Seis, 327 - União, Matupá - MT</t>
  </si>
  <si>
    <t>BR 163 Anexo ao Posto Mirian, Matupá - MT</t>
  </si>
  <si>
    <t>Rogério Gelcivan</t>
  </si>
  <si>
    <t>Frank Da Silva Araújo Araújo</t>
  </si>
  <si>
    <t>R. B 3, 515 – Jerusalém, Peixoto de Azevedo – MT</t>
  </si>
  <si>
    <t>Terminal Rodoviário de Peixoto De Azevedo - Aeroporto, Peixoto de Azevedo - MT</t>
  </si>
  <si>
    <t>PEIXOTO</t>
  </si>
  <si>
    <t>valdiceia santos silva</t>
  </si>
  <si>
    <t>R. Piauí, 142 – Mãe de Deus, Peixoto de Azevedo – MT</t>
  </si>
  <si>
    <t>R. Chile, 115 – Liberdade, Peixoto de Azevedo – MT</t>
  </si>
  <si>
    <t>Escreva uma nota de agradecimento</t>
  </si>
  <si>
    <t>Fábio Henrique Farias Oliveira</t>
  </si>
  <si>
    <t>R. Irmã Scheila, 9 - Jerusalém, Peixoto de Azevedo - MT</t>
  </si>
  <si>
    <t>Av. Lions Internacional, s/nº - Lote 01, Quadra 36 - Centro, Peixoto de Azevedo - MT, 78530-000, Brasil</t>
  </si>
  <si>
    <t>Avenida Itamar Dias s/n Esq.c/r.thiago M.nunes - Industrial, Peixoto de Azevedo - MT</t>
  </si>
  <si>
    <t>R. Manaus, 312 – Nova Esperança, Peixoto de Azevedo – MT</t>
  </si>
  <si>
    <t>Elisângela</t>
  </si>
  <si>
    <t>R. Piauí, 118 – Mãe de Deus, Peixoto de Azevedo – MT</t>
  </si>
  <si>
    <t>Q257+39 Peixoto de Azevedo</t>
  </si>
  <si>
    <t>TV. Bartolomeu Dias, 202 - Alvorada, Peixoto de Azevedo - MT</t>
  </si>
  <si>
    <t>R. Madureira, 315 - Liberdade, Peixoto de Azevedo - MT</t>
  </si>
  <si>
    <t>R. Chile, 159 – Liberdade, Peixoto de Azevedo – MT</t>
  </si>
  <si>
    <t>R. Chile, 241 - Liberdade, Peixoto de Azevedo - MT</t>
  </si>
  <si>
    <t>R. Macapá, 303 - Nova Esperança, Peixoto de Azevedo - MT</t>
  </si>
  <si>
    <t>R. Piauí, 150 - Mãe de Deus, Peixoto de Azevedo - MT</t>
  </si>
  <si>
    <t>R. João Nascimento, 705 - Centro Antigo, Peixoto de Azevedo - MT</t>
  </si>
  <si>
    <t>R.A, 311 - Miraguaí do Norte, Terra Nova do Norte - MT</t>
  </si>
  <si>
    <t>Renatia Barroso Da Silva</t>
  </si>
  <si>
    <t>1737, Rua Thiago M Nunes, Industrial, Peixoto de Azevedo, Brasil, Atrás da Frut Bom</t>
  </si>
  <si>
    <t>Auto Posto Ponto Certo - Aeroporto, Peixoto de Azevedo - Estado de Mato Grosso, Brasil</t>
  </si>
  <si>
    <t>Rua Da Saúde, 5 - Centro Antigo, Peixoto de Azevedo - MT</t>
  </si>
  <si>
    <t>R. Curuà, 245 - Jerusalém, Peixoto de Azevedo - MT</t>
  </si>
  <si>
    <t>Rua Da Saúde, 368 - Centro Antigo, Peixoto de Azevedo - MT</t>
  </si>
  <si>
    <t>Av. Brasil, 145 - Centro, Peixoto de Azevedo - MT</t>
  </si>
  <si>
    <t>Av. Oito Oeste, 117 – Dipagro, Matupá – MT</t>
  </si>
  <si>
    <t>R. Palmas, 406 - Jerusalém, Peixoto de Azevedo - MT</t>
  </si>
  <si>
    <t>Geison Rafael Da Silva</t>
  </si>
  <si>
    <t>R. Doze, 264 - União, Matupá - MT</t>
  </si>
  <si>
    <t>Av. Interpeninsular, 211 - ZP002, Matupá - MT</t>
  </si>
  <si>
    <t>R. Saror Joana Inês Dela Cruz, 375 - Jerusalém, Peixoto de Azevedo - MT</t>
  </si>
  <si>
    <t>Matupá - MT</t>
  </si>
  <si>
    <t>R. Piauí, 118 - Mãe de Deus, Peixoto de Azevedo - MT, 78530-000, Brasil</t>
  </si>
  <si>
    <t>Isaac Almeida Silva Almeida</t>
  </si>
  <si>
    <t>José Carlos Silva Carlos Silva</t>
  </si>
  <si>
    <t>Chácara 03 Planalto casa 406, Matupá, Matupá, Brasil, Ao campo de futebol sossaaite.</t>
  </si>
  <si>
    <t>Av. Rotary Internacional, 390 - Aeroporto, Peixoto de Azevedo - MT</t>
  </si>
  <si>
    <t>R. Curuà, 236 - Jerusalém, Peixoto de Azevedo - MT</t>
  </si>
  <si>
    <t>Augusto Ribeiro Martins Ribeiro Martins</t>
  </si>
  <si>
    <t>Amaggi Frota Rodoviária - MT-322 - Zona Rural, Matupá - Estado de Mato Grosso, Brasil</t>
  </si>
  <si>
    <t>Rodoviária, Matupá - Estado de Mato Grosso, Brasil</t>
  </si>
  <si>
    <t>Elda Silva Gomes</t>
  </si>
  <si>
    <t>Avenida Vítor F Donine, 802, Zona Industrial, Matupá, Mato Grosso</t>
  </si>
  <si>
    <t>Av. Industrial, 659 - Jerusalém, Peixoto de Azevedo - MT</t>
  </si>
  <si>
    <t>Av. Maranhão, 70 - Jerusalém, Peixoto de Azevedo - MT</t>
  </si>
  <si>
    <t>R. Campo Grande, 112 – Nova Esperança, Peixoto de Azevedo – MT</t>
  </si>
  <si>
    <t>Av. Rotary Internacional, 90 - Aeroporto, Peixoto de Azevedo - MT</t>
  </si>
  <si>
    <t>Weslei Martins de Souza</t>
  </si>
  <si>
    <t>Juarez Leite Mirannda Junior</t>
  </si>
  <si>
    <t>Praça Municipal - Rua Pedro Álvares Cabral - Industrial, Peixoto de Azevedo - Estado de Mato Grosso, Brasil</t>
  </si>
  <si>
    <t>Rua Bolívia, 545 - Liberdade, Peixoto de Azevedo - Estado de Mato Grosso, Brasil</t>
  </si>
  <si>
    <t>Rua Bolívia, 777, Liberdade, Peixoto de Azevedo, Mato Grosso</t>
  </si>
  <si>
    <t>R. Rio Grande do Sul, 1515 - Nova Esperança, Peixoto de Azevedo - MT</t>
  </si>
  <si>
    <t>Av. Itamar Dias, 860 - Alvorada, Peixoto de Azevedo - MT</t>
  </si>
  <si>
    <t>R. Madureira, 216 - Liberdade, Peixoto de Azevedo - MT</t>
  </si>
  <si>
    <t>Av. Rotary Internacional, 9621 - Aeroporto, Peixoto de Azevedo - MT</t>
  </si>
  <si>
    <t>Marielen Cristina Rodrigues Pereira</t>
  </si>
  <si>
    <t>Avenida Lions Internacional, 2123, Industrial, Peixoto de Azevedo, Mato Grosso</t>
  </si>
  <si>
    <t>Caixa Econômica Federal - Avenida Brasil - CENTRO, Peixoto de Azevedo - Estado de Mato Grosso, Brasil</t>
  </si>
  <si>
    <t>Av. Brasil, 376 - Centro Antigo, Peixoto de Azevedo - MT</t>
  </si>
  <si>
    <t>R. Piauí, 134 – Mãe de Deus, Peixoto de Azevedo – MT</t>
  </si>
  <si>
    <t>Josiane Vieira</t>
  </si>
  <si>
    <t>Rua Carazinho, 54, Bela Vista, Peixoto de Azevedo, Mato Grosso</t>
  </si>
  <si>
    <t>IMPÉRIO BEER RESTAUBAR - Avenida Itamar Dias - Liberdade, Peixoto de Azevedo - Estado de Mato Grosso, Brasil</t>
  </si>
  <si>
    <t>R. Treze, 209 – União, Matupá – MT</t>
  </si>
  <si>
    <t>R3W7+72 Matupá</t>
  </si>
  <si>
    <t>Marco Moreira</t>
  </si>
  <si>
    <t>Rua Caetano, 34, Santa Izabel, Peixoto de Azevedo, Mato Grosso</t>
  </si>
  <si>
    <t>R. 6 H-3, 325, Matupá - MT</t>
  </si>
  <si>
    <t>Mari Lanches Lanchonete - Avenida Itamar Dias - Jerusalém, Peixoto de Azevedo - Estado de Mato Grosso, Brasil</t>
  </si>
  <si>
    <t>Krys Laine Rodrigues</t>
  </si>
  <si>
    <t>Rua 01 H5 bairro Cidade Alta, Matupá, Matupá, Brasil, Próximo ao bar ponto certo</t>
  </si>
  <si>
    <t>Escola Técnica Estadual de Ed. Profissional e Tecnológica de Matupá, Matupá - Estado de Mato Grosso, Brasil</t>
  </si>
  <si>
    <t>Rua Bolívia, 547, Liberdade, Peixoto de Azevedo, Mato Grosso</t>
  </si>
  <si>
    <t>GG CENTRO DE EVENTOS - Rua Rio Grande do Sul - Nova Esperança, Peixoto de Azevedo - Estado de Mato Grosso, Brasil</t>
  </si>
  <si>
    <t>Sandra Santos</t>
  </si>
  <si>
    <t>Avenida Lions Internacional, Industrial, Peixoto de Azevedo, Mato Grosso</t>
  </si>
  <si>
    <t>Q2J2+3H Peixoto de Azevedo</t>
  </si>
  <si>
    <t>Deusiana Pereira</t>
  </si>
  <si>
    <t>Av. Vítor F. Donine, 802 - Zona Industrial, Matupá - MT</t>
  </si>
  <si>
    <t>R. Dois, 706 - União, Matupá - MT</t>
  </si>
  <si>
    <t>Márcio De Oliveira Cabral</t>
  </si>
  <si>
    <t>Lorrainy Silva</t>
  </si>
  <si>
    <t>Rua 6, 1318, Alto dos lagos, Matupá, Mato Grosso</t>
  </si>
  <si>
    <t>Rua Vinte e Seis, 3902, União, Matupá, Mato Grosso</t>
  </si>
  <si>
    <t>Larissa Mendes Osga</t>
  </si>
  <si>
    <t>R. Gabriel Silva - Centro Novo, Peixoto de Azevedo - MT, 78530-000, Brasil</t>
  </si>
  <si>
    <t>TV. Cuba, 580 - Liberdade, Peixoto de Azevedo - MT</t>
  </si>
  <si>
    <t>R. Júlio Campos, 134 - Centro Antigo, Peixoto de Azevedo - MT</t>
  </si>
  <si>
    <t>Avenida Rotary Internacional, 9621, Aeroporto, Peixoto de Azevedo, Mato Grosso</t>
  </si>
  <si>
    <t>R. Quatorze, 360 - União, Matupá - MT</t>
  </si>
  <si>
    <t>Ana Paula</t>
  </si>
  <si>
    <t>V3J8+4G Matupá</t>
  </si>
  <si>
    <t>Av. Hermínio Ometto, 3106 - ZC1, Matupá - MT</t>
  </si>
  <si>
    <t>Marcos minichik</t>
  </si>
  <si>
    <t>R. Bento Gonçalves, 165 – Bela Vista, Peixoto de Azevedo – MT</t>
  </si>
  <si>
    <t>R. Cristal, 480 - Centro Novo, Peixoto de Azevedo - MT</t>
  </si>
  <si>
    <t>R. Min César Cals, 80 – Centro Antigo, Peixoto de Azevedo – MT</t>
  </si>
  <si>
    <t>Av. Brasil, 637 - Centro Antigo, Peixoto de Azevedo - MT</t>
  </si>
  <si>
    <t>Avenida Lions Internacional - Centro Antigo, Peixoto de Azevedo - MT, Brasil</t>
  </si>
  <si>
    <t>Av. Lions Internacional, 9 - Industrial, Peixoto de Azevedo - MT</t>
  </si>
  <si>
    <t>R. Piauí, 129 – Mãe de Deus, Peixoto de Azevedo – MT</t>
  </si>
  <si>
    <t>R.V Braz, 121 - Alvorada, Peixoto de Azevedo - MT</t>
  </si>
  <si>
    <t>Kellyanne Ribeiro Batista Miranda</t>
  </si>
  <si>
    <t>Av. Brasil, 887 - Centro, Peixoto de Azevedo - MT</t>
  </si>
  <si>
    <t>R. Teotônio Vilela, 198 - Centro Novo, Peixoto de Azevedo - MT, 78530-000, Brasil</t>
  </si>
  <si>
    <t>Avenida Rotary Internacional, 380, Bela Vista, Peixoto de Azevedo, Mato Grosso</t>
  </si>
  <si>
    <t>Matupá, Estado de Mato Grosso, Brasil</t>
  </si>
  <si>
    <t>Raicone Adelino</t>
  </si>
  <si>
    <t>Av. 9 I-1, 502, Matupá - MT</t>
  </si>
  <si>
    <t>Matupá - MT, 78525-000, Brasil</t>
  </si>
  <si>
    <t>R. Dois, 705 - União, Matupá - MT</t>
  </si>
  <si>
    <t>R352+W4 Peixoto de Azevedo</t>
  </si>
  <si>
    <t>Av. Sebastião Alves Júnior, 515 - ZI-001, Matupá - MT</t>
  </si>
  <si>
    <t>Av. Interpeninsular, 126 - União, Matupá - MT</t>
  </si>
  <si>
    <t>Av. Brasil, 866 - Centro Novo, Peixoto de Azevedo - MT</t>
  </si>
  <si>
    <t>R. Min César Cals, 73 – Centro Antigo, Peixoto de Azevedo – MT</t>
  </si>
  <si>
    <t>R. Thiago Magalhães Nunes, 492 - Centro Antigo, Peixoto de Azevedo - MT</t>
  </si>
  <si>
    <t>Av. Brasil, 854 - Centro Novo, Peixoto de Azevedo - MT</t>
  </si>
  <si>
    <t>Av. Lions Internacional, 989 - Industrial, Peixoto de Azevedo - MT</t>
  </si>
  <si>
    <t>Av. Brasil, 1362 - Liberdade, Peixoto de Azevedo - MT</t>
  </si>
  <si>
    <t>Av. Rotary Internacional, 400 - Industrial, Peixoto de Azevedo - MT</t>
  </si>
  <si>
    <t>Rua Um, 212, União, Matupá, Mato Grosso</t>
  </si>
  <si>
    <t>Sem nome</t>
  </si>
  <si>
    <t>Av. Vítor F Donine, 802 - Zona Industrial, Matupá - MT, 78525-000, Brasil</t>
  </si>
  <si>
    <t>Crissi Azevedo</t>
  </si>
  <si>
    <t>Rai Arujo</t>
  </si>
  <si>
    <t>211, Rua Macapá, Nova Esperança, Peixoto de Azevedo, Brasil, Casa</t>
  </si>
  <si>
    <t>R. 10 C2, Matupá - MT, 78525-000, Brasil</t>
  </si>
  <si>
    <t>Paula Oliveira De Almeida</t>
  </si>
  <si>
    <t>Ruanakesi Andradecorreia</t>
  </si>
  <si>
    <t>Av. Pioneiro Jose Nelson Coutinho, 999 - Centro, Guarantã do Norte - MT</t>
  </si>
  <si>
    <t>976, Rua Curitiba, Jardim Vitória, Guarantã do Norte, Brasil</t>
  </si>
  <si>
    <t>GUARANTA DO NORTE</t>
  </si>
  <si>
    <t>Jandui Pereira Lima</t>
  </si>
  <si>
    <t>Adrielly Maiteli</t>
  </si>
  <si>
    <t>Rua das Aroeiras, 28 - Jardim Cidade Nova, Guarantã do Norte - Mato Grosso, Brazil</t>
  </si>
  <si>
    <t>R. das Aroeiras, 10 - Jardim Cidade Nova, Guarantã do Norte - MT</t>
  </si>
  <si>
    <t>Alex Sandro</t>
  </si>
  <si>
    <t>Sandro Alex</t>
  </si>
  <si>
    <t>Rua Salvador, 1490, Jardim Vitória, Guarantã do Norte, Mato Grosso</t>
  </si>
  <si>
    <t>R. Salvador, 1490 - Jardim Vitória, Guarantã do Norte - MT</t>
  </si>
  <si>
    <t>Nayra Souza Souza</t>
  </si>
  <si>
    <t>Rua São João, 535, Guarantã do Norte, Mato Grosso</t>
  </si>
  <si>
    <t>Hospital Municipal Nossa Senhora do Rosário, Avenida Dantes - Matins de Oliveira - Jardim Cidade Nova, Guaranta do Norte - State of Mato Grosso, Brazil</t>
  </si>
  <si>
    <t>Antônio Rubis</t>
  </si>
  <si>
    <t>Avenida Marginal Pioneiro José Nelsom Coutinho, 2785, Setor Industrial, Guarantã do Norte, Mato Grosso</t>
  </si>
  <si>
    <t>Av. Pioneiro Jose Nelson Coutinho, 930 - Cristo Rei, Guarantã do Norte - MT</t>
  </si>
  <si>
    <t>Danieli Girardi</t>
  </si>
  <si>
    <t>R. dos Cajueiros, 445 - Centro, Guarantã do Norte - MT</t>
  </si>
  <si>
    <t>R. João Pessoa, 477 - Jardim Vitória, Guarantã do Norte - MT</t>
  </si>
  <si>
    <t>R. Pupunha, 164 - Horizonte II, Guarantã do Norte - MT</t>
  </si>
  <si>
    <t>R. dos Muricís, 194 - St. Industrial, Guarantã do Norte - MT</t>
  </si>
  <si>
    <t>R. das Castanheiras, 2415 - Bairro 13 de Maio, Guarantã do Norte - MT</t>
  </si>
  <si>
    <t>Raimundo Duarte</t>
  </si>
  <si>
    <t>Rua Natal, 530, Horizonte II, Guarantã do Norte, Mato Grosso</t>
  </si>
  <si>
    <t>530, Rua Natal, Horizonte II, Guarantã do Norte, 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</si>
</sst>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0.0"/>
      <color rgb="FF000000"/>
      <name val="Arial"/>
      <scheme val="minor"/>
    </font>
    <font>
      <sz val="11.0"/>
      <color rgb="FF337AB7"/>
      <name val="Rubik"/>
    </font>
    <font>
      <sz val="11.0"/>
      <color rgb="FF000000"/>
      <name val="Rubik"/>
    </font>
    <font>
      <color theme="1"/>
      <name val="Arial"/>
      <scheme val="minor"/>
    </font>
    <font>
      <sz val="11.0"/>
      <color theme="1"/>
      <name val="Rubik"/>
    </font>
    <font>
      <u/>
      <sz val="11.0"/>
      <color rgb="FF0000FF"/>
      <name val="Rubik"/>
    </font>
  </fonts>
  <fills count="3">
    <fill>
      <patternFill patternType="none"/>
    </fill>
    <fill>
      <patternFill patternType="lightGray"/>
    </fill>
    <fill>
      <patternFill patternType="solid">
        <fgColor rgb="FFFAFBFC"/>
        <bgColor rgb="FFFAFBF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2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2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4.0"/>
    <col customWidth="1" min="3" max="3" width="37.75"/>
    <col customWidth="1" min="4" max="4" width="24.25"/>
    <col customWidth="1" min="5" max="5" width="112.63"/>
    <col customWidth="1" min="6" max="6" width="114.25"/>
    <col customWidth="1" min="7" max="7" width="31.5"/>
    <col customWidth="1" min="8" max="8" width="21.63"/>
    <col customWidth="1" min="9" max="9" width="21.5"/>
    <col customWidth="1" min="12" max="12" width="22.38"/>
    <col customWidth="1" min="14" max="14" width="36.25"/>
    <col customWidth="1" min="15" max="15" width="22.75"/>
    <col customWidth="1" min="16" max="16" width="1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>
        <v>5.72095015E8</v>
      </c>
      <c r="B2" s="5" t="s">
        <v>16</v>
      </c>
      <c r="C2" s="5" t="s">
        <v>17</v>
      </c>
      <c r="D2" s="6">
        <f t="shared" ref="D2:D3" si="1">+5566996588792</f>
        <v>5566996588792</v>
      </c>
      <c r="E2" s="5" t="s">
        <v>18</v>
      </c>
      <c r="F2" s="5" t="s">
        <v>19</v>
      </c>
      <c r="G2" s="7">
        <v>45756.437430555554</v>
      </c>
      <c r="H2" s="7">
        <v>45756.44090277778</v>
      </c>
      <c r="I2" s="5" t="s">
        <v>20</v>
      </c>
      <c r="J2" s="5" t="s">
        <v>21</v>
      </c>
      <c r="K2" s="5" t="s">
        <v>22</v>
      </c>
      <c r="L2" s="5" t="s">
        <v>22</v>
      </c>
      <c r="M2" s="5">
        <v>5.0</v>
      </c>
      <c r="N2" s="5" t="s">
        <v>23</v>
      </c>
      <c r="O2" s="5" t="s">
        <v>23</v>
      </c>
      <c r="P2" s="3" t="s">
        <v>24</v>
      </c>
    </row>
    <row r="3">
      <c r="A3" s="4">
        <v>5.72080312E8</v>
      </c>
      <c r="B3" s="8" t="s">
        <v>16</v>
      </c>
      <c r="C3" s="8" t="s">
        <v>17</v>
      </c>
      <c r="D3" s="9">
        <f t="shared" si="1"/>
        <v>5566996588792</v>
      </c>
      <c r="E3" s="8" t="s">
        <v>19</v>
      </c>
      <c r="F3" s="8" t="s">
        <v>18</v>
      </c>
      <c r="G3" s="10">
        <v>45756.39134259259</v>
      </c>
      <c r="H3" s="10">
        <v>45756.39412037037</v>
      </c>
      <c r="I3" s="8" t="s">
        <v>20</v>
      </c>
      <c r="J3" s="8" t="s">
        <v>21</v>
      </c>
      <c r="K3" s="11"/>
      <c r="L3" s="2"/>
      <c r="M3" s="2"/>
      <c r="N3" s="2"/>
      <c r="O3" s="2"/>
      <c r="P3" s="3" t="s">
        <v>24</v>
      </c>
    </row>
    <row r="4">
      <c r="A4" s="4">
        <v>5.72337152E8</v>
      </c>
      <c r="B4" s="5" t="s">
        <v>25</v>
      </c>
      <c r="C4" s="5" t="s">
        <v>26</v>
      </c>
      <c r="D4" s="6">
        <f>+5566999875843</f>
        <v>5566999875843</v>
      </c>
      <c r="E4" s="5" t="s">
        <v>27</v>
      </c>
      <c r="F4" s="5" t="s">
        <v>27</v>
      </c>
      <c r="G4" s="7">
        <v>45757.68753472222</v>
      </c>
      <c r="H4" s="7">
        <v>45757.68822916667</v>
      </c>
      <c r="I4" s="5" t="s">
        <v>28</v>
      </c>
      <c r="J4" s="5" t="s">
        <v>21</v>
      </c>
      <c r="K4" s="5" t="s">
        <v>22</v>
      </c>
      <c r="L4" s="5" t="s">
        <v>29</v>
      </c>
      <c r="M4" s="5">
        <v>5.0</v>
      </c>
      <c r="N4" s="5" t="s">
        <v>23</v>
      </c>
      <c r="O4" s="5" t="s">
        <v>23</v>
      </c>
      <c r="P4" s="3" t="s">
        <v>24</v>
      </c>
    </row>
    <row r="5">
      <c r="A5" s="4">
        <v>5.72330209E8</v>
      </c>
      <c r="B5" s="8" t="s">
        <v>30</v>
      </c>
      <c r="C5" s="8" t="s">
        <v>31</v>
      </c>
      <c r="D5" s="9">
        <f>+5599991133422</f>
        <v>5599991133422</v>
      </c>
      <c r="E5" s="8" t="s">
        <v>32</v>
      </c>
      <c r="F5" s="8" t="s">
        <v>33</v>
      </c>
      <c r="G5" s="10">
        <v>45757.62594907408</v>
      </c>
      <c r="H5" s="10">
        <v>45757.63497685185</v>
      </c>
      <c r="I5" s="8" t="s">
        <v>28</v>
      </c>
      <c r="J5" s="8" t="s">
        <v>21</v>
      </c>
      <c r="K5" s="8" t="s">
        <v>22</v>
      </c>
      <c r="L5" s="8" t="s">
        <v>29</v>
      </c>
      <c r="M5" s="12"/>
      <c r="P5" s="3" t="s">
        <v>24</v>
      </c>
    </row>
    <row r="6">
      <c r="A6" s="4">
        <v>5.72452959E8</v>
      </c>
      <c r="B6" s="5" t="s">
        <v>34</v>
      </c>
      <c r="C6" s="5" t="s">
        <v>35</v>
      </c>
      <c r="D6" s="6">
        <f>+5566996607371</f>
        <v>5566996607371</v>
      </c>
      <c r="E6" s="5" t="s">
        <v>36</v>
      </c>
      <c r="F6" s="5" t="s">
        <v>37</v>
      </c>
      <c r="G6" s="7">
        <v>45758.319375</v>
      </c>
      <c r="H6" s="7">
        <v>45758.323541666665</v>
      </c>
      <c r="I6" s="5" t="s">
        <v>28</v>
      </c>
      <c r="J6" s="5" t="s">
        <v>21</v>
      </c>
      <c r="K6" s="5" t="s">
        <v>22</v>
      </c>
      <c r="L6" s="5" t="s">
        <v>29</v>
      </c>
      <c r="M6" s="5" t="s">
        <v>23</v>
      </c>
      <c r="N6" s="5" t="s">
        <v>23</v>
      </c>
      <c r="O6" s="5" t="s">
        <v>23</v>
      </c>
      <c r="P6" s="13" t="s">
        <v>38</v>
      </c>
    </row>
    <row r="7">
      <c r="A7" s="4">
        <v>5.72809895E8</v>
      </c>
      <c r="B7" s="5" t="s">
        <v>34</v>
      </c>
      <c r="C7" s="5" t="s">
        <v>39</v>
      </c>
      <c r="D7" s="6">
        <f>+5566996356157</f>
        <v>5566996356157</v>
      </c>
      <c r="E7" s="5" t="s">
        <v>40</v>
      </c>
      <c r="F7" s="5" t="s">
        <v>41</v>
      </c>
      <c r="G7" s="7">
        <v>45759.651412037034</v>
      </c>
      <c r="H7" s="7">
        <v>45759.653495370374</v>
      </c>
      <c r="I7" s="5" t="s">
        <v>28</v>
      </c>
      <c r="J7" s="5" t="s">
        <v>21</v>
      </c>
      <c r="K7" s="5" t="s">
        <v>22</v>
      </c>
      <c r="L7" s="5" t="s">
        <v>29</v>
      </c>
      <c r="M7" s="5">
        <v>5.0</v>
      </c>
      <c r="N7" s="5" t="s">
        <v>42</v>
      </c>
      <c r="O7" s="5" t="s">
        <v>23</v>
      </c>
      <c r="P7" s="3" t="s">
        <v>38</v>
      </c>
    </row>
    <row r="8">
      <c r="A8" s="4">
        <v>5.72802905E8</v>
      </c>
      <c r="B8" s="8" t="s">
        <v>43</v>
      </c>
      <c r="C8" s="8" t="s">
        <v>31</v>
      </c>
      <c r="D8" s="9">
        <f>+5567996522538</f>
        <v>5567996522538</v>
      </c>
      <c r="E8" s="8" t="s">
        <v>44</v>
      </c>
      <c r="F8" s="8" t="s">
        <v>45</v>
      </c>
      <c r="G8" s="10">
        <v>45759.601805555554</v>
      </c>
      <c r="H8" s="10">
        <v>45759.604583333334</v>
      </c>
      <c r="I8" s="8" t="s">
        <v>20</v>
      </c>
      <c r="J8" s="8" t="s">
        <v>21</v>
      </c>
      <c r="K8" s="8" t="s">
        <v>22</v>
      </c>
      <c r="L8" s="8" t="s">
        <v>22</v>
      </c>
      <c r="M8" s="8">
        <v>5.0</v>
      </c>
      <c r="N8" s="8" t="s">
        <v>42</v>
      </c>
      <c r="O8" s="8" t="s">
        <v>23</v>
      </c>
      <c r="P8" s="3" t="s">
        <v>38</v>
      </c>
    </row>
    <row r="9">
      <c r="A9" s="4">
        <v>5.73009805E8</v>
      </c>
      <c r="B9" s="5" t="s">
        <v>34</v>
      </c>
      <c r="C9" s="5" t="s">
        <v>31</v>
      </c>
      <c r="D9" s="6">
        <f>+556699289363</f>
        <v>556699289363</v>
      </c>
      <c r="E9" s="5" t="s">
        <v>46</v>
      </c>
      <c r="F9" s="5" t="s">
        <v>47</v>
      </c>
      <c r="G9" s="7">
        <v>45760.51795138889</v>
      </c>
      <c r="H9" s="7">
        <v>45760.52003472222</v>
      </c>
      <c r="I9" s="5" t="s">
        <v>28</v>
      </c>
      <c r="J9" s="5" t="s">
        <v>21</v>
      </c>
      <c r="K9" s="5" t="s">
        <v>22</v>
      </c>
      <c r="L9" s="5" t="s">
        <v>29</v>
      </c>
      <c r="M9" s="5" t="s">
        <v>23</v>
      </c>
      <c r="N9" s="5" t="s">
        <v>23</v>
      </c>
      <c r="O9" s="5" t="s">
        <v>23</v>
      </c>
      <c r="P9" s="3" t="s">
        <v>38</v>
      </c>
    </row>
    <row r="10">
      <c r="A10" s="4">
        <v>5.7292181E8</v>
      </c>
      <c r="B10" s="8" t="s">
        <v>34</v>
      </c>
      <c r="C10" s="8" t="s">
        <v>48</v>
      </c>
      <c r="D10" s="9">
        <f t="shared" ref="D10:D11" si="2">+5566999576629</f>
        <v>5566999576629</v>
      </c>
      <c r="E10" s="8" t="s">
        <v>49</v>
      </c>
      <c r="F10" s="8" t="s">
        <v>50</v>
      </c>
      <c r="G10" s="10">
        <v>45760.252546296295</v>
      </c>
      <c r="H10" s="10">
        <v>45760.258101851854</v>
      </c>
      <c r="I10" s="8" t="s">
        <v>28</v>
      </c>
      <c r="J10" s="8" t="s">
        <v>21</v>
      </c>
      <c r="K10" s="8" t="s">
        <v>22</v>
      </c>
      <c r="L10" s="8" t="s">
        <v>29</v>
      </c>
      <c r="M10" s="8">
        <v>5.0</v>
      </c>
      <c r="N10" s="8" t="s">
        <v>23</v>
      </c>
      <c r="O10" s="8" t="s">
        <v>23</v>
      </c>
      <c r="P10" s="3" t="s">
        <v>38</v>
      </c>
    </row>
    <row r="11">
      <c r="A11" s="4">
        <v>5.73156101E8</v>
      </c>
      <c r="B11" s="5" t="s">
        <v>34</v>
      </c>
      <c r="C11" s="5" t="s">
        <v>48</v>
      </c>
      <c r="D11" s="6">
        <f t="shared" si="2"/>
        <v>5566999576629</v>
      </c>
      <c r="E11" s="5" t="s">
        <v>51</v>
      </c>
      <c r="F11" s="5" t="s">
        <v>52</v>
      </c>
      <c r="G11" s="7">
        <v>45761.289513888885</v>
      </c>
      <c r="H11" s="7">
        <v>45761.291597222225</v>
      </c>
      <c r="I11" s="5" t="s">
        <v>28</v>
      </c>
      <c r="J11" s="5" t="s">
        <v>21</v>
      </c>
      <c r="K11" s="5" t="s">
        <v>22</v>
      </c>
      <c r="L11" s="5" t="s">
        <v>29</v>
      </c>
      <c r="M11" s="5">
        <v>5.0</v>
      </c>
      <c r="N11" s="5" t="s">
        <v>23</v>
      </c>
      <c r="O11" s="5" t="s">
        <v>23</v>
      </c>
      <c r="P11" s="3" t="s">
        <v>38</v>
      </c>
    </row>
    <row r="12">
      <c r="A12" s="4">
        <v>5.73699158E8</v>
      </c>
      <c r="B12" s="5" t="s">
        <v>34</v>
      </c>
      <c r="C12" s="5" t="s">
        <v>31</v>
      </c>
      <c r="D12" s="6">
        <f>+55669999105544</f>
        <v>55669999105544</v>
      </c>
      <c r="E12" s="5" t="s">
        <v>53</v>
      </c>
      <c r="F12" s="5" t="s">
        <v>54</v>
      </c>
      <c r="G12" s="7">
        <v>45763.88738425926</v>
      </c>
      <c r="H12" s="7">
        <v>45763.90335648148</v>
      </c>
      <c r="I12" s="5" t="s">
        <v>28</v>
      </c>
      <c r="J12" s="5" t="s">
        <v>21</v>
      </c>
      <c r="K12" s="5" t="s">
        <v>22</v>
      </c>
      <c r="L12" s="5" t="s">
        <v>29</v>
      </c>
      <c r="M12" s="5" t="s">
        <v>23</v>
      </c>
      <c r="N12" s="5" t="s">
        <v>23</v>
      </c>
      <c r="O12" s="5" t="s">
        <v>23</v>
      </c>
      <c r="P12" s="3" t="s">
        <v>38</v>
      </c>
    </row>
    <row r="13">
      <c r="A13" s="4">
        <v>5.74060336E8</v>
      </c>
      <c r="B13" s="5" t="s">
        <v>34</v>
      </c>
      <c r="C13" s="5" t="s">
        <v>31</v>
      </c>
      <c r="D13" s="6">
        <f>+556692588829</f>
        <v>556692588829</v>
      </c>
      <c r="E13" s="5" t="s">
        <v>55</v>
      </c>
      <c r="F13" s="5" t="s">
        <v>56</v>
      </c>
      <c r="G13" s="7">
        <v>45765.37658564815</v>
      </c>
      <c r="H13" s="7">
        <v>45765.37936342593</v>
      </c>
      <c r="I13" s="5" t="s">
        <v>28</v>
      </c>
      <c r="J13" s="5" t="s">
        <v>21</v>
      </c>
      <c r="K13" s="5" t="s">
        <v>22</v>
      </c>
      <c r="L13" s="5" t="s">
        <v>29</v>
      </c>
      <c r="M13" s="5" t="s">
        <v>23</v>
      </c>
      <c r="N13" s="5" t="s">
        <v>23</v>
      </c>
      <c r="O13" s="5" t="s">
        <v>23</v>
      </c>
      <c r="P13" s="3" t="s">
        <v>38</v>
      </c>
    </row>
    <row r="14">
      <c r="A14" s="4">
        <v>5.74801572E8</v>
      </c>
      <c r="B14" s="5" t="s">
        <v>34</v>
      </c>
      <c r="C14" s="5" t="s">
        <v>31</v>
      </c>
      <c r="D14" s="6">
        <f>+556699948070</f>
        <v>556699948070</v>
      </c>
      <c r="E14" s="5" t="s">
        <v>57</v>
      </c>
      <c r="F14" s="5" t="s">
        <v>58</v>
      </c>
      <c r="G14" s="7">
        <v>45768.54615740741</v>
      </c>
      <c r="H14" s="7">
        <v>45768.56351851852</v>
      </c>
      <c r="I14" s="5" t="s">
        <v>28</v>
      </c>
      <c r="J14" s="5" t="s">
        <v>21</v>
      </c>
      <c r="K14" s="5" t="s">
        <v>22</v>
      </c>
      <c r="L14" s="5" t="s">
        <v>29</v>
      </c>
      <c r="M14" s="5" t="s">
        <v>23</v>
      </c>
      <c r="N14" s="5" t="s">
        <v>23</v>
      </c>
      <c r="O14" s="5" t="s">
        <v>23</v>
      </c>
      <c r="P14" s="3" t="s">
        <v>38</v>
      </c>
    </row>
    <row r="15">
      <c r="A15" s="4">
        <v>5.76955756E8</v>
      </c>
      <c r="B15" s="5" t="s">
        <v>34</v>
      </c>
      <c r="C15" s="5" t="s">
        <v>59</v>
      </c>
      <c r="D15" s="6">
        <f>+5566999516439</f>
        <v>5566999516439</v>
      </c>
      <c r="E15" s="5" t="s">
        <v>60</v>
      </c>
      <c r="F15" s="5" t="s">
        <v>61</v>
      </c>
      <c r="G15" s="7">
        <v>45778.53797453704</v>
      </c>
      <c r="H15" s="7">
        <v>45778.54283564815</v>
      </c>
      <c r="I15" s="5" t="s">
        <v>28</v>
      </c>
      <c r="J15" s="5" t="s">
        <v>21</v>
      </c>
      <c r="K15" s="5" t="s">
        <v>22</v>
      </c>
      <c r="L15" s="5" t="s">
        <v>22</v>
      </c>
      <c r="M15" s="5">
        <v>5.0</v>
      </c>
      <c r="N15" s="5" t="s">
        <v>23</v>
      </c>
      <c r="O15" s="5" t="s">
        <v>23</v>
      </c>
      <c r="P15" s="3" t="s">
        <v>38</v>
      </c>
    </row>
    <row r="16">
      <c r="A16" s="4">
        <v>5.77460912E8</v>
      </c>
      <c r="B16" s="5" t="s">
        <v>48</v>
      </c>
      <c r="C16" s="5" t="s">
        <v>34</v>
      </c>
      <c r="D16" s="6">
        <f>+5566999576629</f>
        <v>5566999576629</v>
      </c>
      <c r="E16" s="5" t="s">
        <v>46</v>
      </c>
      <c r="F16" s="5" t="s">
        <v>62</v>
      </c>
      <c r="G16" s="7">
        <v>45780.57667824074</v>
      </c>
      <c r="H16" s="7">
        <v>45780.58084490741</v>
      </c>
      <c r="I16" s="5" t="s">
        <v>28</v>
      </c>
      <c r="J16" s="5" t="s">
        <v>21</v>
      </c>
      <c r="K16" s="5" t="s">
        <v>22</v>
      </c>
      <c r="L16" s="5" t="s">
        <v>29</v>
      </c>
      <c r="M16" s="5">
        <v>5.0</v>
      </c>
      <c r="N16" s="5" t="s">
        <v>23</v>
      </c>
      <c r="O16" s="5" t="s">
        <v>23</v>
      </c>
      <c r="P16" s="3" t="s">
        <v>38</v>
      </c>
    </row>
    <row r="17" ht="16.5" customHeight="1">
      <c r="A17" s="4">
        <v>5.77296942E8</v>
      </c>
      <c r="B17" s="8" t="s">
        <v>31</v>
      </c>
      <c r="C17" s="8" t="s">
        <v>34</v>
      </c>
      <c r="D17" s="9">
        <f t="shared" ref="D17:D18" si="3">+5566999743637</f>
        <v>5566999743637</v>
      </c>
      <c r="E17" s="8" t="s">
        <v>63</v>
      </c>
      <c r="F17" s="8" t="s">
        <v>64</v>
      </c>
      <c r="G17" s="10">
        <v>45780.0684375</v>
      </c>
      <c r="H17" s="10">
        <v>45780.072604166664</v>
      </c>
      <c r="I17" s="8" t="s">
        <v>28</v>
      </c>
      <c r="J17" s="8" t="s">
        <v>21</v>
      </c>
      <c r="K17" s="8" t="s">
        <v>22</v>
      </c>
      <c r="L17" s="8" t="s">
        <v>29</v>
      </c>
      <c r="M17" s="8" t="s">
        <v>23</v>
      </c>
      <c r="N17" s="8" t="s">
        <v>23</v>
      </c>
      <c r="O17" s="8" t="s">
        <v>23</v>
      </c>
      <c r="P17" s="3" t="s">
        <v>38</v>
      </c>
    </row>
    <row r="18">
      <c r="A18" s="4">
        <v>5.77776996E8</v>
      </c>
      <c r="B18" s="5" t="s">
        <v>34</v>
      </c>
      <c r="C18" s="5" t="s">
        <v>31</v>
      </c>
      <c r="D18" s="6">
        <f t="shared" si="3"/>
        <v>5566999743637</v>
      </c>
      <c r="E18" s="5" t="s">
        <v>63</v>
      </c>
      <c r="F18" s="5" t="s">
        <v>65</v>
      </c>
      <c r="G18" s="7">
        <v>45781.943460648145</v>
      </c>
      <c r="H18" s="7">
        <v>45781.94971064815</v>
      </c>
      <c r="I18" s="5" t="s">
        <v>28</v>
      </c>
      <c r="J18" s="5" t="s">
        <v>21</v>
      </c>
      <c r="K18" s="5" t="s">
        <v>22</v>
      </c>
      <c r="L18" s="5" t="s">
        <v>29</v>
      </c>
      <c r="M18" s="5" t="s">
        <v>23</v>
      </c>
      <c r="N18" s="5" t="s">
        <v>23</v>
      </c>
      <c r="O18" s="5" t="s">
        <v>23</v>
      </c>
      <c r="P18" s="3" t="s">
        <v>38</v>
      </c>
    </row>
    <row r="19">
      <c r="A19" s="4">
        <v>5.77690352E8</v>
      </c>
      <c r="B19" s="8" t="s">
        <v>34</v>
      </c>
      <c r="C19" s="8" t="s">
        <v>48</v>
      </c>
      <c r="D19" s="9">
        <f t="shared" ref="D19:D20" si="4">+5566999576629</f>
        <v>5566999576629</v>
      </c>
      <c r="E19" s="8" t="s">
        <v>66</v>
      </c>
      <c r="F19" s="8" t="s">
        <v>67</v>
      </c>
      <c r="G19" s="10">
        <v>45781.495416666665</v>
      </c>
      <c r="H19" s="10">
        <v>45781.505833333336</v>
      </c>
      <c r="I19" s="8" t="s">
        <v>28</v>
      </c>
      <c r="J19" s="8" t="s">
        <v>21</v>
      </c>
      <c r="K19" s="8" t="s">
        <v>22</v>
      </c>
      <c r="L19" s="8" t="s">
        <v>29</v>
      </c>
      <c r="M19" s="8">
        <v>5.0</v>
      </c>
      <c r="N19" s="8" t="s">
        <v>23</v>
      </c>
      <c r="O19" s="8" t="s">
        <v>23</v>
      </c>
      <c r="P19" s="3" t="s">
        <v>24</v>
      </c>
    </row>
    <row r="20">
      <c r="A20" s="4">
        <v>5.78078131E8</v>
      </c>
      <c r="B20" s="5" t="s">
        <v>34</v>
      </c>
      <c r="C20" s="5" t="s">
        <v>48</v>
      </c>
      <c r="D20" s="6">
        <f t="shared" si="4"/>
        <v>5566999576629</v>
      </c>
      <c r="E20" s="5" t="s">
        <v>40</v>
      </c>
      <c r="F20" s="5" t="s">
        <v>40</v>
      </c>
      <c r="G20" s="7">
        <v>45782.8437962963</v>
      </c>
      <c r="H20" s="7">
        <v>45782.84449074074</v>
      </c>
      <c r="I20" s="5" t="s">
        <v>28</v>
      </c>
      <c r="J20" s="5" t="s">
        <v>21</v>
      </c>
      <c r="K20" s="5" t="s">
        <v>22</v>
      </c>
      <c r="L20" s="5" t="s">
        <v>29</v>
      </c>
      <c r="M20" s="5" t="s">
        <v>23</v>
      </c>
      <c r="N20" s="5" t="s">
        <v>23</v>
      </c>
      <c r="O20" s="5" t="s">
        <v>23</v>
      </c>
      <c r="P20" s="3" t="s">
        <v>38</v>
      </c>
    </row>
    <row r="21">
      <c r="A21" s="4">
        <v>5.78033401E8</v>
      </c>
      <c r="B21" s="5" t="s">
        <v>68</v>
      </c>
      <c r="C21" s="5" t="s">
        <v>31</v>
      </c>
      <c r="D21" s="6">
        <f>+5566996623334</f>
        <v>5566996623334</v>
      </c>
      <c r="E21" s="5" t="s">
        <v>69</v>
      </c>
      <c r="F21" s="5" t="s">
        <v>70</v>
      </c>
      <c r="G21" s="7">
        <v>45782.59515046296</v>
      </c>
      <c r="H21" s="7">
        <v>45782.59862268518</v>
      </c>
      <c r="I21" s="5" t="s">
        <v>28</v>
      </c>
      <c r="J21" s="5" t="s">
        <v>21</v>
      </c>
      <c r="K21" s="5" t="s">
        <v>22</v>
      </c>
      <c r="L21" s="5" t="s">
        <v>29</v>
      </c>
      <c r="M21" s="5" t="s">
        <v>23</v>
      </c>
      <c r="N21" s="5" t="s">
        <v>23</v>
      </c>
      <c r="O21" s="5" t="s">
        <v>23</v>
      </c>
      <c r="P21" s="3" t="s">
        <v>24</v>
      </c>
    </row>
    <row r="22">
      <c r="A22" s="4">
        <v>5.78587512E8</v>
      </c>
      <c r="B22" s="5" t="s">
        <v>34</v>
      </c>
      <c r="C22" s="5" t="s">
        <v>35</v>
      </c>
      <c r="D22" s="6">
        <f>+5566996607371</f>
        <v>5566996607371</v>
      </c>
      <c r="E22" s="5" t="s">
        <v>71</v>
      </c>
      <c r="F22" s="5" t="s">
        <v>72</v>
      </c>
      <c r="G22" s="7">
        <v>45784.76503472222</v>
      </c>
      <c r="H22" s="7">
        <v>45784.77475694445</v>
      </c>
      <c r="I22" s="5" t="s">
        <v>28</v>
      </c>
      <c r="J22" s="5" t="s">
        <v>21</v>
      </c>
      <c r="K22" s="5" t="s">
        <v>22</v>
      </c>
      <c r="L22" s="5" t="s">
        <v>29</v>
      </c>
      <c r="M22" s="5" t="s">
        <v>23</v>
      </c>
      <c r="N22" s="5" t="s">
        <v>23</v>
      </c>
      <c r="O22" s="5" t="s">
        <v>23</v>
      </c>
      <c r="P22" s="3" t="s">
        <v>38</v>
      </c>
    </row>
    <row r="23">
      <c r="A23" s="4">
        <v>5.78782237E8</v>
      </c>
      <c r="B23" s="5" t="s">
        <v>34</v>
      </c>
      <c r="C23" s="5" t="s">
        <v>39</v>
      </c>
      <c r="D23" s="6">
        <f>+5566996356157</f>
        <v>5566996356157</v>
      </c>
      <c r="E23" s="5" t="s">
        <v>37</v>
      </c>
      <c r="F23" s="5" t="s">
        <v>73</v>
      </c>
      <c r="G23" s="7">
        <v>45785.78944444445</v>
      </c>
      <c r="H23" s="7">
        <v>45785.795</v>
      </c>
      <c r="I23" s="5" t="s">
        <v>20</v>
      </c>
      <c r="J23" s="5" t="s">
        <v>21</v>
      </c>
      <c r="K23" s="5" t="s">
        <v>22</v>
      </c>
      <c r="L23" s="5" t="s">
        <v>22</v>
      </c>
      <c r="M23" s="5">
        <v>5.0</v>
      </c>
      <c r="N23" s="5" t="s">
        <v>42</v>
      </c>
      <c r="O23" s="5" t="s">
        <v>23</v>
      </c>
      <c r="P23" s="3" t="s">
        <v>38</v>
      </c>
    </row>
    <row r="24">
      <c r="A24" s="4">
        <v>194175.0</v>
      </c>
      <c r="B24" s="5" t="s">
        <v>74</v>
      </c>
      <c r="C24" s="5" t="s">
        <v>75</v>
      </c>
      <c r="D24" s="6">
        <f>+5566996878760</f>
        <v>5566996878760</v>
      </c>
      <c r="E24" s="5" t="s">
        <v>76</v>
      </c>
      <c r="F24" s="5" t="s">
        <v>77</v>
      </c>
      <c r="G24" s="7">
        <v>45787.638240740744</v>
      </c>
      <c r="H24" s="7">
        <v>45787.65143518519</v>
      </c>
      <c r="I24" s="5" t="s">
        <v>28</v>
      </c>
      <c r="J24" s="5" t="s">
        <v>21</v>
      </c>
      <c r="K24" s="5" t="s">
        <v>22</v>
      </c>
      <c r="L24" s="5" t="s">
        <v>22</v>
      </c>
      <c r="M24" s="5" t="s">
        <v>23</v>
      </c>
      <c r="N24" s="5" t="s">
        <v>23</v>
      </c>
      <c r="O24" s="5" t="s">
        <v>23</v>
      </c>
      <c r="P24" s="3" t="s">
        <v>24</v>
      </c>
    </row>
    <row r="25">
      <c r="A25" s="4">
        <v>5.79047365E8</v>
      </c>
      <c r="B25" s="8" t="s">
        <v>34</v>
      </c>
      <c r="C25" s="8" t="s">
        <v>31</v>
      </c>
      <c r="D25" s="9">
        <f>+5566999743637</f>
        <v>5566999743637</v>
      </c>
      <c r="E25" s="8" t="s">
        <v>78</v>
      </c>
      <c r="F25" s="8" t="s">
        <v>78</v>
      </c>
      <c r="G25" s="10">
        <v>45787.05630787037</v>
      </c>
      <c r="H25" s="10">
        <v>45787.072280092594</v>
      </c>
      <c r="I25" s="8" t="s">
        <v>28</v>
      </c>
      <c r="J25" s="8" t="s">
        <v>21</v>
      </c>
      <c r="K25" s="8" t="s">
        <v>22</v>
      </c>
      <c r="L25" s="8" t="s">
        <v>29</v>
      </c>
      <c r="M25" s="8" t="s">
        <v>23</v>
      </c>
      <c r="N25" s="8" t="s">
        <v>23</v>
      </c>
      <c r="O25" s="8" t="s">
        <v>23</v>
      </c>
      <c r="P25" s="3" t="s">
        <v>38</v>
      </c>
    </row>
    <row r="26">
      <c r="A26" s="4">
        <v>5.79637561E8</v>
      </c>
      <c r="B26" s="5" t="s">
        <v>25</v>
      </c>
      <c r="C26" s="5" t="s">
        <v>79</v>
      </c>
      <c r="D26" s="6">
        <f>+5566992371226</f>
        <v>5566992371226</v>
      </c>
      <c r="E26" s="5" t="s">
        <v>80</v>
      </c>
      <c r="F26" s="5" t="s">
        <v>81</v>
      </c>
      <c r="G26" s="7">
        <v>45789.44100694444</v>
      </c>
      <c r="H26" s="7">
        <v>45789.445868055554</v>
      </c>
      <c r="I26" s="5" t="s">
        <v>28</v>
      </c>
      <c r="J26" s="5" t="s">
        <v>21</v>
      </c>
      <c r="K26" s="5" t="s">
        <v>22</v>
      </c>
      <c r="L26" s="5" t="s">
        <v>22</v>
      </c>
      <c r="M26" s="5">
        <v>1.0</v>
      </c>
      <c r="N26" s="5" t="s">
        <v>23</v>
      </c>
      <c r="O26" s="5" t="s">
        <v>23</v>
      </c>
      <c r="P26" s="3" t="s">
        <v>24</v>
      </c>
    </row>
    <row r="27">
      <c r="A27" s="4">
        <v>5.79876431E8</v>
      </c>
      <c r="B27" s="5" t="s">
        <v>25</v>
      </c>
      <c r="C27" s="5" t="s">
        <v>82</v>
      </c>
      <c r="D27" s="6">
        <f>+5566999689757</f>
        <v>5566999689757</v>
      </c>
      <c r="E27" s="5" t="s">
        <v>83</v>
      </c>
      <c r="F27" s="5" t="s">
        <v>84</v>
      </c>
      <c r="G27" s="7">
        <v>45790.781018518515</v>
      </c>
      <c r="H27" s="7">
        <v>45790.79074074074</v>
      </c>
      <c r="I27" s="5" t="s">
        <v>28</v>
      </c>
      <c r="J27" s="5" t="s">
        <v>21</v>
      </c>
      <c r="K27" s="5" t="s">
        <v>22</v>
      </c>
      <c r="L27" s="5" t="s">
        <v>22</v>
      </c>
      <c r="M27" s="5">
        <v>1.0</v>
      </c>
      <c r="N27" s="5" t="s">
        <v>23</v>
      </c>
      <c r="O27" s="5" t="s">
        <v>23</v>
      </c>
      <c r="P27" s="3" t="s">
        <v>24</v>
      </c>
    </row>
    <row r="28">
      <c r="A28" s="4">
        <v>5.79855433E8</v>
      </c>
      <c r="B28" s="8" t="s">
        <v>34</v>
      </c>
      <c r="C28" s="8" t="s">
        <v>31</v>
      </c>
      <c r="D28" s="9">
        <f>+556699743637</f>
        <v>556699743637</v>
      </c>
      <c r="E28" s="8" t="s">
        <v>85</v>
      </c>
      <c r="F28" s="8" t="s">
        <v>86</v>
      </c>
      <c r="G28" s="10">
        <v>45790.583819444444</v>
      </c>
      <c r="H28" s="10">
        <v>45790.59006944444</v>
      </c>
      <c r="I28" s="8" t="s">
        <v>28</v>
      </c>
      <c r="J28" s="8" t="s">
        <v>21</v>
      </c>
      <c r="K28" s="8" t="s">
        <v>22</v>
      </c>
      <c r="L28" s="8" t="s">
        <v>29</v>
      </c>
      <c r="M28" s="8" t="s">
        <v>23</v>
      </c>
      <c r="N28" s="8" t="s">
        <v>23</v>
      </c>
      <c r="O28" s="8" t="s">
        <v>23</v>
      </c>
      <c r="P28" s="3" t="s">
        <v>38</v>
      </c>
    </row>
    <row r="29">
      <c r="A29" s="4">
        <v>5.80085395E8</v>
      </c>
      <c r="B29" s="5" t="s">
        <v>34</v>
      </c>
      <c r="C29" s="5" t="s">
        <v>48</v>
      </c>
      <c r="D29" s="6">
        <f>+5566999576629</f>
        <v>5566999576629</v>
      </c>
      <c r="E29" s="5" t="s">
        <v>87</v>
      </c>
      <c r="F29" s="5" t="s">
        <v>49</v>
      </c>
      <c r="G29" s="7">
        <v>45791.842777777776</v>
      </c>
      <c r="H29" s="7">
        <v>45791.85319444445</v>
      </c>
      <c r="I29" s="5" t="s">
        <v>28</v>
      </c>
      <c r="J29" s="5" t="s">
        <v>21</v>
      </c>
      <c r="K29" s="5" t="s">
        <v>22</v>
      </c>
      <c r="L29" s="5" t="s">
        <v>29</v>
      </c>
      <c r="M29" s="5">
        <v>5.0</v>
      </c>
      <c r="N29" s="5" t="s">
        <v>23</v>
      </c>
      <c r="O29" s="5" t="s">
        <v>23</v>
      </c>
      <c r="P29" s="3" t="s">
        <v>38</v>
      </c>
    </row>
    <row r="30">
      <c r="A30" s="4">
        <v>5.81584664E8</v>
      </c>
      <c r="B30" s="5" t="s">
        <v>88</v>
      </c>
      <c r="C30" s="5" t="s">
        <v>89</v>
      </c>
      <c r="D30" s="6">
        <f t="shared" ref="D30:D31" si="5">+5566999853140</f>
        <v>5566999853140</v>
      </c>
      <c r="E30" s="5" t="s">
        <v>90</v>
      </c>
      <c r="F30" s="5" t="s">
        <v>91</v>
      </c>
      <c r="G30" s="7">
        <v>45798.957708333335</v>
      </c>
      <c r="H30" s="7">
        <v>45798.96326388889</v>
      </c>
      <c r="I30" s="5" t="s">
        <v>28</v>
      </c>
      <c r="J30" s="5" t="s">
        <v>21</v>
      </c>
      <c r="K30" s="5" t="s">
        <v>22</v>
      </c>
      <c r="L30" s="5" t="s">
        <v>22</v>
      </c>
      <c r="M30" s="5">
        <v>5.0</v>
      </c>
      <c r="N30" s="5" t="s">
        <v>23</v>
      </c>
      <c r="O30" s="5" t="s">
        <v>23</v>
      </c>
      <c r="P30" s="3" t="s">
        <v>38</v>
      </c>
    </row>
    <row r="31">
      <c r="A31" s="4">
        <v>5.8157533E8</v>
      </c>
      <c r="B31" s="8" t="s">
        <v>34</v>
      </c>
      <c r="C31" s="8" t="s">
        <v>89</v>
      </c>
      <c r="D31" s="9">
        <f t="shared" si="5"/>
        <v>5566999853140</v>
      </c>
      <c r="E31" s="8" t="s">
        <v>92</v>
      </c>
      <c r="F31" s="8" t="s">
        <v>90</v>
      </c>
      <c r="G31" s="10">
        <v>45798.870717592596</v>
      </c>
      <c r="H31" s="10">
        <v>45798.8755787037</v>
      </c>
      <c r="I31" s="8" t="s">
        <v>28</v>
      </c>
      <c r="J31" s="8" t="s">
        <v>21</v>
      </c>
      <c r="K31" s="8" t="s">
        <v>22</v>
      </c>
      <c r="L31" s="8" t="s">
        <v>22</v>
      </c>
      <c r="M31" s="8">
        <v>5.0</v>
      </c>
      <c r="N31" s="8" t="s">
        <v>23</v>
      </c>
      <c r="O31" s="8" t="s">
        <v>23</v>
      </c>
      <c r="P31" s="3" t="s">
        <v>38</v>
      </c>
    </row>
    <row r="32">
      <c r="A32" s="4">
        <v>5.81574004E8</v>
      </c>
      <c r="B32" s="5" t="s">
        <v>34</v>
      </c>
      <c r="C32" s="5" t="s">
        <v>35</v>
      </c>
      <c r="D32" s="6">
        <f>+5566996607371</f>
        <v>5566996607371</v>
      </c>
      <c r="E32" s="5" t="s">
        <v>93</v>
      </c>
      <c r="F32" s="5" t="s">
        <v>94</v>
      </c>
      <c r="G32" s="7">
        <v>45798.848032407404</v>
      </c>
      <c r="H32" s="7">
        <v>45798.85358796296</v>
      </c>
      <c r="I32" s="5" t="s">
        <v>28</v>
      </c>
      <c r="J32" s="5" t="s">
        <v>21</v>
      </c>
      <c r="K32" s="5" t="s">
        <v>22</v>
      </c>
      <c r="L32" s="5" t="s">
        <v>29</v>
      </c>
      <c r="M32" s="5" t="s">
        <v>23</v>
      </c>
      <c r="N32" s="5" t="s">
        <v>23</v>
      </c>
      <c r="O32" s="5" t="s">
        <v>23</v>
      </c>
      <c r="P32" s="3" t="s">
        <v>38</v>
      </c>
    </row>
    <row r="33">
      <c r="A33" s="4">
        <v>5.8347914E8</v>
      </c>
      <c r="B33" s="5" t="s">
        <v>34</v>
      </c>
      <c r="C33" s="5" t="s">
        <v>31</v>
      </c>
      <c r="D33" s="6">
        <f>+55992491185</f>
        <v>55992491185</v>
      </c>
      <c r="E33" s="5" t="s">
        <v>95</v>
      </c>
      <c r="F33" s="5" t="s">
        <v>96</v>
      </c>
      <c r="G33" s="7">
        <v>45807.32189814815</v>
      </c>
      <c r="H33" s="7">
        <v>45807.328148148146</v>
      </c>
      <c r="I33" s="5" t="s">
        <v>28</v>
      </c>
      <c r="J33" s="5" t="s">
        <v>21</v>
      </c>
      <c r="K33" s="5" t="s">
        <v>22</v>
      </c>
      <c r="L33" s="5" t="s">
        <v>29</v>
      </c>
      <c r="M33" s="5" t="s">
        <v>23</v>
      </c>
      <c r="N33" s="5" t="s">
        <v>23</v>
      </c>
      <c r="O33" s="5" t="s">
        <v>23</v>
      </c>
      <c r="P33" s="3" t="s">
        <v>38</v>
      </c>
    </row>
    <row r="34">
      <c r="A34" s="4">
        <v>5.84129537E8</v>
      </c>
      <c r="B34" s="5" t="s">
        <v>34</v>
      </c>
      <c r="C34" s="5" t="s">
        <v>97</v>
      </c>
      <c r="D34" s="6">
        <f>+5565992709674</f>
        <v>5565992709674</v>
      </c>
      <c r="E34" s="5" t="s">
        <v>98</v>
      </c>
      <c r="F34" s="5" t="s">
        <v>99</v>
      </c>
      <c r="G34" s="7">
        <v>45809.74444444444</v>
      </c>
      <c r="H34" s="7">
        <v>45809.74722222222</v>
      </c>
      <c r="I34" s="5" t="s">
        <v>28</v>
      </c>
      <c r="J34" s="5" t="s">
        <v>21</v>
      </c>
      <c r="K34" s="5" t="s">
        <v>22</v>
      </c>
      <c r="L34" s="5" t="s">
        <v>22</v>
      </c>
      <c r="M34" s="5" t="s">
        <v>23</v>
      </c>
      <c r="N34" s="5" t="s">
        <v>23</v>
      </c>
      <c r="O34" s="5" t="s">
        <v>23</v>
      </c>
      <c r="P34" s="3" t="s">
        <v>38</v>
      </c>
    </row>
    <row r="35">
      <c r="A35" s="4">
        <v>5.84613343E8</v>
      </c>
      <c r="B35" s="5" t="s">
        <v>34</v>
      </c>
      <c r="C35" s="5" t="s">
        <v>31</v>
      </c>
      <c r="D35" s="6">
        <f>+5566999656038</f>
        <v>5566999656038</v>
      </c>
      <c r="E35" s="5" t="s">
        <v>100</v>
      </c>
      <c r="F35" s="5" t="s">
        <v>101</v>
      </c>
      <c r="G35" s="7">
        <v>45811.79046296296</v>
      </c>
      <c r="H35" s="7">
        <v>45811.795324074075</v>
      </c>
      <c r="I35" s="5" t="s">
        <v>28</v>
      </c>
      <c r="J35" s="5" t="s">
        <v>21</v>
      </c>
      <c r="K35" s="5" t="s">
        <v>22</v>
      </c>
      <c r="L35" s="5" t="s">
        <v>29</v>
      </c>
      <c r="M35" s="5" t="s">
        <v>23</v>
      </c>
      <c r="N35" s="5" t="s">
        <v>23</v>
      </c>
      <c r="O35" s="5" t="s">
        <v>23</v>
      </c>
      <c r="P35" s="3" t="s">
        <v>38</v>
      </c>
    </row>
    <row r="36">
      <c r="A36" s="4">
        <v>5.84820384E8</v>
      </c>
      <c r="B36" s="5" t="s">
        <v>43</v>
      </c>
      <c r="C36" s="5" t="s">
        <v>102</v>
      </c>
      <c r="D36" s="6">
        <f>+5566997177786</f>
        <v>5566997177786</v>
      </c>
      <c r="E36" s="5" t="s">
        <v>103</v>
      </c>
      <c r="F36" s="5" t="s">
        <v>104</v>
      </c>
      <c r="G36" s="7">
        <v>45812.82726851852</v>
      </c>
      <c r="H36" s="7">
        <v>45812.83074074074</v>
      </c>
      <c r="I36" s="5" t="s">
        <v>28</v>
      </c>
      <c r="J36" s="5" t="s">
        <v>21</v>
      </c>
      <c r="K36" s="5" t="s">
        <v>22</v>
      </c>
      <c r="L36" s="5" t="s">
        <v>22</v>
      </c>
      <c r="M36" s="5">
        <v>3.0</v>
      </c>
      <c r="N36" s="5" t="s">
        <v>23</v>
      </c>
      <c r="O36" s="5" t="s">
        <v>23</v>
      </c>
      <c r="P36" s="3" t="s">
        <v>38</v>
      </c>
    </row>
    <row r="37">
      <c r="A37" s="4">
        <v>5.84801847E8</v>
      </c>
      <c r="B37" s="8" t="s">
        <v>68</v>
      </c>
      <c r="C37" s="8" t="s">
        <v>31</v>
      </c>
      <c r="D37" s="9">
        <f t="shared" ref="D37:D38" si="6">+5566996083399</f>
        <v>5566996083399</v>
      </c>
      <c r="E37" s="8" t="s">
        <v>105</v>
      </c>
      <c r="F37" s="8" t="s">
        <v>106</v>
      </c>
      <c r="G37" s="10">
        <v>45812.668078703704</v>
      </c>
      <c r="H37" s="10">
        <v>45812.672939814816</v>
      </c>
      <c r="I37" s="8" t="s">
        <v>28</v>
      </c>
      <c r="J37" s="8" t="s">
        <v>21</v>
      </c>
      <c r="K37" s="8" t="s">
        <v>22</v>
      </c>
      <c r="L37" s="8" t="s">
        <v>29</v>
      </c>
      <c r="M37" s="8" t="s">
        <v>23</v>
      </c>
      <c r="N37" s="8" t="s">
        <v>23</v>
      </c>
      <c r="O37" s="8" t="s">
        <v>23</v>
      </c>
      <c r="P37" s="3" t="s">
        <v>24</v>
      </c>
    </row>
    <row r="38">
      <c r="A38" s="4">
        <v>5.84801514E8</v>
      </c>
      <c r="B38" s="5" t="s">
        <v>68</v>
      </c>
      <c r="C38" s="5" t="s">
        <v>31</v>
      </c>
      <c r="D38" s="6">
        <f t="shared" si="6"/>
        <v>5566996083399</v>
      </c>
      <c r="E38" s="5" t="s">
        <v>69</v>
      </c>
      <c r="F38" s="5" t="s">
        <v>69</v>
      </c>
      <c r="G38" s="7">
        <v>45812.66355324074</v>
      </c>
      <c r="H38" s="7">
        <v>45812.66355324074</v>
      </c>
      <c r="I38" s="5" t="s">
        <v>28</v>
      </c>
      <c r="J38" s="5" t="s">
        <v>21</v>
      </c>
      <c r="K38" s="5" t="s">
        <v>22</v>
      </c>
      <c r="L38" s="5" t="s">
        <v>29</v>
      </c>
      <c r="M38" s="5" t="s">
        <v>23</v>
      </c>
      <c r="N38" s="5" t="s">
        <v>23</v>
      </c>
      <c r="O38" s="5" t="s">
        <v>23</v>
      </c>
      <c r="P38" s="3" t="s">
        <v>24</v>
      </c>
    </row>
    <row r="39">
      <c r="A39" s="4">
        <v>5.8549426E8</v>
      </c>
      <c r="B39" s="5" t="s">
        <v>34</v>
      </c>
      <c r="C39" s="5" t="s">
        <v>107</v>
      </c>
      <c r="D39" s="6">
        <f>+5566996649750</f>
        <v>5566996649750</v>
      </c>
      <c r="E39" s="5" t="s">
        <v>108</v>
      </c>
      <c r="F39" s="5" t="s">
        <v>109</v>
      </c>
      <c r="G39" s="7">
        <v>45815.585231481484</v>
      </c>
      <c r="H39" s="7">
        <v>45815.59564814815</v>
      </c>
      <c r="I39" s="5" t="s">
        <v>20</v>
      </c>
      <c r="J39" s="5" t="s">
        <v>21</v>
      </c>
      <c r="K39" s="5" t="s">
        <v>22</v>
      </c>
      <c r="L39" s="5" t="s">
        <v>22</v>
      </c>
      <c r="M39" s="5">
        <v>1.0</v>
      </c>
      <c r="N39" s="5" t="s">
        <v>23</v>
      </c>
      <c r="O39" s="5" t="s">
        <v>23</v>
      </c>
      <c r="P39" s="3" t="s">
        <v>38</v>
      </c>
    </row>
    <row r="40">
      <c r="A40" s="4">
        <v>5.85712869E8</v>
      </c>
      <c r="B40" s="5" t="s">
        <v>34</v>
      </c>
      <c r="C40" s="5" t="s">
        <v>48</v>
      </c>
      <c r="D40" s="6">
        <f>+5566999576629</f>
        <v>5566999576629</v>
      </c>
      <c r="E40" s="5" t="s">
        <v>83</v>
      </c>
      <c r="F40" s="5" t="s">
        <v>110</v>
      </c>
      <c r="G40" s="7">
        <v>45816.5178125</v>
      </c>
      <c r="H40" s="7">
        <v>45816.5303125</v>
      </c>
      <c r="I40" s="5" t="s">
        <v>20</v>
      </c>
      <c r="J40" s="5" t="s">
        <v>21</v>
      </c>
      <c r="K40" s="5" t="s">
        <v>22</v>
      </c>
      <c r="L40" s="5" t="s">
        <v>22</v>
      </c>
      <c r="M40" s="5">
        <v>5.0</v>
      </c>
      <c r="N40" s="5" t="s">
        <v>23</v>
      </c>
      <c r="O40" s="5" t="s">
        <v>23</v>
      </c>
      <c r="P40" s="3" t="s">
        <v>24</v>
      </c>
    </row>
    <row r="41">
      <c r="A41" s="4">
        <v>5.8641776E8</v>
      </c>
      <c r="B41" s="5" t="s">
        <v>30</v>
      </c>
      <c r="C41" s="5" t="s">
        <v>111</v>
      </c>
      <c r="D41" s="6">
        <f>+5565992822524</f>
        <v>5565992822524</v>
      </c>
      <c r="E41" s="5" t="s">
        <v>112</v>
      </c>
      <c r="F41" s="5" t="s">
        <v>113</v>
      </c>
      <c r="G41" s="7">
        <v>45819.593935185185</v>
      </c>
      <c r="H41" s="7">
        <v>45819.59810185185</v>
      </c>
      <c r="I41" s="5" t="s">
        <v>20</v>
      </c>
      <c r="J41" s="5" t="s">
        <v>21</v>
      </c>
      <c r="K41" s="5" t="s">
        <v>22</v>
      </c>
      <c r="L41" s="5" t="s">
        <v>22</v>
      </c>
      <c r="M41" s="5" t="s">
        <v>23</v>
      </c>
      <c r="N41" s="5" t="s">
        <v>23</v>
      </c>
      <c r="O41" s="5" t="s">
        <v>23</v>
      </c>
      <c r="P41" s="3" t="s">
        <v>24</v>
      </c>
    </row>
    <row r="42">
      <c r="A42" s="4">
        <v>5.86758187E8</v>
      </c>
      <c r="B42" s="5" t="s">
        <v>34</v>
      </c>
      <c r="C42" s="5" t="s">
        <v>89</v>
      </c>
      <c r="D42" s="6">
        <f>+5566999853140</f>
        <v>5566999853140</v>
      </c>
      <c r="E42" s="5" t="s">
        <v>114</v>
      </c>
      <c r="F42" s="5" t="s">
        <v>115</v>
      </c>
      <c r="G42" s="7">
        <v>45820.889872685184</v>
      </c>
      <c r="H42" s="7">
        <v>45820.89612268518</v>
      </c>
      <c r="I42" s="5" t="s">
        <v>28</v>
      </c>
      <c r="J42" s="5" t="s">
        <v>21</v>
      </c>
      <c r="K42" s="5" t="s">
        <v>22</v>
      </c>
      <c r="L42" s="5" t="s">
        <v>22</v>
      </c>
      <c r="M42" s="5">
        <v>5.0</v>
      </c>
      <c r="N42" s="5" t="s">
        <v>23</v>
      </c>
      <c r="O42" s="5" t="s">
        <v>23</v>
      </c>
      <c r="P42" s="3" t="s">
        <v>38</v>
      </c>
    </row>
    <row r="43">
      <c r="A43" s="4">
        <v>5.86647996E8</v>
      </c>
      <c r="B43" s="8" t="s">
        <v>43</v>
      </c>
      <c r="C43" s="8" t="s">
        <v>116</v>
      </c>
      <c r="D43" s="9">
        <f>+5566984675696</f>
        <v>5566984675696</v>
      </c>
      <c r="E43" s="8" t="s">
        <v>117</v>
      </c>
      <c r="F43" s="8" t="s">
        <v>118</v>
      </c>
      <c r="G43" s="10">
        <v>45820.37420138889</v>
      </c>
      <c r="H43" s="10">
        <v>45820.398506944446</v>
      </c>
      <c r="I43" s="8" t="s">
        <v>28</v>
      </c>
      <c r="J43" s="8" t="s">
        <v>21</v>
      </c>
      <c r="K43" s="8" t="s">
        <v>22</v>
      </c>
      <c r="L43" s="8" t="s">
        <v>22</v>
      </c>
      <c r="M43" s="8">
        <v>5.0</v>
      </c>
      <c r="N43" s="8" t="s">
        <v>23</v>
      </c>
      <c r="O43" s="8" t="s">
        <v>23</v>
      </c>
      <c r="P43" s="3" t="s">
        <v>38</v>
      </c>
    </row>
    <row r="44">
      <c r="A44" s="4">
        <v>5.86925878E8</v>
      </c>
      <c r="B44" s="5" t="s">
        <v>30</v>
      </c>
      <c r="C44" s="5" t="s">
        <v>119</v>
      </c>
      <c r="D44" s="6">
        <f>+5593992024339</f>
        <v>5593992024339</v>
      </c>
      <c r="E44" s="5" t="s">
        <v>120</v>
      </c>
      <c r="F44" s="5" t="s">
        <v>121</v>
      </c>
      <c r="G44" s="7">
        <v>45821.50246527778</v>
      </c>
      <c r="H44" s="7">
        <v>45821.50524305556</v>
      </c>
      <c r="I44" s="5" t="s">
        <v>28</v>
      </c>
      <c r="J44" s="5" t="s">
        <v>21</v>
      </c>
      <c r="K44" s="5" t="s">
        <v>22</v>
      </c>
      <c r="L44" s="5" t="s">
        <v>22</v>
      </c>
      <c r="M44" s="5">
        <v>4.0</v>
      </c>
      <c r="N44" s="5" t="s">
        <v>42</v>
      </c>
      <c r="O44" s="5" t="s">
        <v>23</v>
      </c>
      <c r="P44" s="3" t="s">
        <v>24</v>
      </c>
    </row>
    <row r="45">
      <c r="A45" s="4">
        <v>5.86877118E8</v>
      </c>
      <c r="B45" s="8" t="s">
        <v>122</v>
      </c>
      <c r="C45" s="8" t="s">
        <v>123</v>
      </c>
      <c r="D45" s="9">
        <f>+5566996127251</f>
        <v>5566996127251</v>
      </c>
      <c r="E45" s="8" t="s">
        <v>124</v>
      </c>
      <c r="F45" s="8" t="s">
        <v>125</v>
      </c>
      <c r="G45" s="10">
        <v>45821.36603009259</v>
      </c>
      <c r="H45" s="10">
        <v>45821.37019675926</v>
      </c>
      <c r="I45" s="8" t="s">
        <v>28</v>
      </c>
      <c r="J45" s="8" t="s">
        <v>21</v>
      </c>
      <c r="K45" s="8" t="s">
        <v>22</v>
      </c>
      <c r="L45" s="8" t="s">
        <v>22</v>
      </c>
      <c r="M45" s="8" t="s">
        <v>23</v>
      </c>
      <c r="N45" s="8" t="s">
        <v>23</v>
      </c>
      <c r="O45" s="8" t="s">
        <v>23</v>
      </c>
      <c r="P45" s="3" t="s">
        <v>24</v>
      </c>
    </row>
    <row r="46">
      <c r="A46" s="4">
        <v>5.8774067E8</v>
      </c>
      <c r="B46" s="5" t="s">
        <v>34</v>
      </c>
      <c r="C46" s="5" t="s">
        <v>126</v>
      </c>
      <c r="D46" s="6">
        <f>+5573998669450</f>
        <v>5573998669450</v>
      </c>
      <c r="E46" s="5" t="s">
        <v>96</v>
      </c>
      <c r="F46" s="5" t="s">
        <v>127</v>
      </c>
      <c r="G46" s="7">
        <v>45824.55930555556</v>
      </c>
      <c r="H46" s="7">
        <v>45824.56208333333</v>
      </c>
      <c r="I46" s="5" t="s">
        <v>28</v>
      </c>
      <c r="J46" s="5" t="s">
        <v>21</v>
      </c>
      <c r="K46" s="5" t="s">
        <v>22</v>
      </c>
      <c r="L46" s="5" t="s">
        <v>22</v>
      </c>
      <c r="M46" s="5">
        <v>5.0</v>
      </c>
      <c r="N46" s="5" t="s">
        <v>42</v>
      </c>
      <c r="O46" s="5" t="s">
        <v>23</v>
      </c>
      <c r="P46" s="3" t="s">
        <v>38</v>
      </c>
    </row>
    <row r="47">
      <c r="A47" s="4">
        <v>5.87736548E8</v>
      </c>
      <c r="B47" s="8" t="s">
        <v>34</v>
      </c>
      <c r="C47" s="8" t="s">
        <v>31</v>
      </c>
      <c r="D47" s="9">
        <f>+559381135614</f>
        <v>559381135614</v>
      </c>
      <c r="E47" s="8" t="s">
        <v>128</v>
      </c>
      <c r="F47" s="8" t="s">
        <v>129</v>
      </c>
      <c r="G47" s="10">
        <v>45824.53056712963</v>
      </c>
      <c r="H47" s="10">
        <v>45824.534733796296</v>
      </c>
      <c r="I47" s="8" t="s">
        <v>28</v>
      </c>
      <c r="J47" s="8" t="s">
        <v>21</v>
      </c>
      <c r="K47" s="8" t="s">
        <v>22</v>
      </c>
      <c r="L47" s="8" t="s">
        <v>29</v>
      </c>
      <c r="M47" s="8" t="s">
        <v>23</v>
      </c>
      <c r="N47" s="8" t="s">
        <v>23</v>
      </c>
      <c r="O47" s="8" t="s">
        <v>23</v>
      </c>
      <c r="P47" s="3" t="s">
        <v>38</v>
      </c>
    </row>
    <row r="48">
      <c r="A48" s="4">
        <v>5.87566548E8</v>
      </c>
      <c r="B48" s="5" t="s">
        <v>34</v>
      </c>
      <c r="C48" s="5" t="s">
        <v>107</v>
      </c>
      <c r="D48" s="6">
        <f>+5566996649750</f>
        <v>5566996649750</v>
      </c>
      <c r="E48" s="5" t="s">
        <v>130</v>
      </c>
      <c r="F48" s="5" t="s">
        <v>131</v>
      </c>
      <c r="G48" s="7">
        <v>45824.04484953704</v>
      </c>
      <c r="H48" s="7">
        <v>45824.0552662037</v>
      </c>
      <c r="I48" s="5" t="s">
        <v>20</v>
      </c>
      <c r="J48" s="5" t="s">
        <v>21</v>
      </c>
      <c r="K48" s="5" t="s">
        <v>22</v>
      </c>
      <c r="L48" s="5" t="s">
        <v>22</v>
      </c>
      <c r="M48" s="5" t="s">
        <v>23</v>
      </c>
      <c r="N48" s="5" t="s">
        <v>23</v>
      </c>
      <c r="O48" s="5" t="s">
        <v>23</v>
      </c>
      <c r="P48" s="3" t="s">
        <v>38</v>
      </c>
    </row>
    <row r="49">
      <c r="A49" s="4">
        <v>5.87998539E8</v>
      </c>
      <c r="B49" s="5" t="s">
        <v>68</v>
      </c>
      <c r="C49" s="5" t="s">
        <v>132</v>
      </c>
      <c r="D49" s="6">
        <f>+5593981183288</f>
        <v>5593981183288</v>
      </c>
      <c r="E49" s="5" t="s">
        <v>121</v>
      </c>
      <c r="F49" s="5" t="s">
        <v>133</v>
      </c>
      <c r="G49" s="7">
        <v>45825.727106481485</v>
      </c>
      <c r="H49" s="7">
        <v>45825.7368287037</v>
      </c>
      <c r="I49" s="5" t="s">
        <v>28</v>
      </c>
      <c r="J49" s="5" t="s">
        <v>21</v>
      </c>
      <c r="K49" s="5" t="s">
        <v>22</v>
      </c>
      <c r="L49" s="5" t="s">
        <v>22</v>
      </c>
      <c r="M49" s="5">
        <v>5.0</v>
      </c>
      <c r="N49" s="5" t="s">
        <v>42</v>
      </c>
      <c r="O49" s="5" t="s">
        <v>23</v>
      </c>
      <c r="P49" s="3" t="s">
        <v>24</v>
      </c>
    </row>
    <row r="50">
      <c r="A50" s="4">
        <v>5.88716963E8</v>
      </c>
      <c r="B50" s="5" t="s">
        <v>68</v>
      </c>
      <c r="C50" s="5" t="s">
        <v>31</v>
      </c>
      <c r="D50" s="6">
        <f>+5566996083399</f>
        <v>5566996083399</v>
      </c>
      <c r="E50" s="5" t="s">
        <v>134</v>
      </c>
      <c r="F50" s="5" t="s">
        <v>134</v>
      </c>
      <c r="G50" s="7">
        <v>45828.52711805556</v>
      </c>
      <c r="H50" s="7">
        <v>45828.5403125</v>
      </c>
      <c r="I50" s="5" t="s">
        <v>28</v>
      </c>
      <c r="J50" s="5" t="s">
        <v>21</v>
      </c>
      <c r="K50" s="5" t="s">
        <v>22</v>
      </c>
      <c r="L50" s="5" t="s">
        <v>29</v>
      </c>
      <c r="M50" s="5" t="s">
        <v>23</v>
      </c>
      <c r="N50" s="5" t="s">
        <v>23</v>
      </c>
      <c r="O50" s="5" t="s">
        <v>23</v>
      </c>
      <c r="P50" s="3" t="s">
        <v>24</v>
      </c>
    </row>
    <row r="51">
      <c r="A51" s="4">
        <v>5.89209862E8</v>
      </c>
      <c r="B51" s="5" t="s">
        <v>135</v>
      </c>
      <c r="C51" s="5" t="s">
        <v>31</v>
      </c>
      <c r="D51" s="6">
        <f>+5566996790013</f>
        <v>5566996790013</v>
      </c>
      <c r="E51" s="5" t="s">
        <v>136</v>
      </c>
      <c r="F51" s="5" t="s">
        <v>136</v>
      </c>
      <c r="G51" s="7">
        <v>45830.89172453704</v>
      </c>
      <c r="H51" s="7">
        <v>45830.89172453704</v>
      </c>
      <c r="I51" s="5" t="s">
        <v>28</v>
      </c>
      <c r="J51" s="5" t="s">
        <v>21</v>
      </c>
      <c r="K51" s="5" t="s">
        <v>22</v>
      </c>
      <c r="L51" s="5" t="s">
        <v>29</v>
      </c>
      <c r="M51" s="5" t="s">
        <v>23</v>
      </c>
      <c r="N51" s="5" t="s">
        <v>23</v>
      </c>
      <c r="O51" s="5" t="s">
        <v>23</v>
      </c>
      <c r="P51" s="3" t="s">
        <v>38</v>
      </c>
    </row>
    <row r="52">
      <c r="A52" s="4">
        <v>5.89692263E8</v>
      </c>
      <c r="B52" s="5" t="s">
        <v>34</v>
      </c>
      <c r="C52" s="5" t="s">
        <v>39</v>
      </c>
      <c r="D52" s="6">
        <f t="shared" ref="D52:D57" si="7">+5566996356157</f>
        <v>5566996356157</v>
      </c>
      <c r="E52" s="5" t="s">
        <v>137</v>
      </c>
      <c r="F52" s="5" t="s">
        <v>49</v>
      </c>
      <c r="G52" s="7">
        <v>45832.74694444444</v>
      </c>
      <c r="H52" s="7">
        <v>45832.757361111115</v>
      </c>
      <c r="I52" s="5" t="s">
        <v>28</v>
      </c>
      <c r="J52" s="5" t="s">
        <v>21</v>
      </c>
      <c r="K52" s="5" t="s">
        <v>22</v>
      </c>
      <c r="L52" s="5" t="s">
        <v>29</v>
      </c>
      <c r="M52" s="5">
        <v>5.0</v>
      </c>
      <c r="N52" s="5" t="s">
        <v>42</v>
      </c>
      <c r="O52" s="5" t="s">
        <v>23</v>
      </c>
      <c r="P52" s="3" t="s">
        <v>38</v>
      </c>
    </row>
    <row r="53">
      <c r="A53" s="4">
        <v>5.89687909E8</v>
      </c>
      <c r="B53" s="8" t="s">
        <v>34</v>
      </c>
      <c r="C53" s="8" t="s">
        <v>39</v>
      </c>
      <c r="D53" s="9">
        <f t="shared" si="7"/>
        <v>5566996356157</v>
      </c>
      <c r="E53" s="8" t="s">
        <v>138</v>
      </c>
      <c r="F53" s="8" t="s">
        <v>139</v>
      </c>
      <c r="G53" s="10">
        <v>45832.70576388889</v>
      </c>
      <c r="H53" s="10">
        <v>45832.71895833333</v>
      </c>
      <c r="I53" s="8" t="s">
        <v>28</v>
      </c>
      <c r="J53" s="8" t="s">
        <v>21</v>
      </c>
      <c r="K53" s="8" t="s">
        <v>22</v>
      </c>
      <c r="L53" s="8" t="s">
        <v>29</v>
      </c>
      <c r="M53" s="8">
        <v>5.0</v>
      </c>
      <c r="N53" s="8" t="s">
        <v>42</v>
      </c>
      <c r="O53" s="8" t="s">
        <v>23</v>
      </c>
      <c r="P53" s="3" t="s">
        <v>38</v>
      </c>
    </row>
    <row r="54">
      <c r="A54" s="4">
        <v>5.89685023E8</v>
      </c>
      <c r="B54" s="5" t="s">
        <v>34</v>
      </c>
      <c r="C54" s="5" t="s">
        <v>39</v>
      </c>
      <c r="D54" s="6">
        <f t="shared" si="7"/>
        <v>5566996356157</v>
      </c>
      <c r="E54" s="5" t="s">
        <v>49</v>
      </c>
      <c r="F54" s="5" t="s">
        <v>140</v>
      </c>
      <c r="G54" s="7">
        <v>45832.684907407405</v>
      </c>
      <c r="H54" s="7">
        <v>45832.68907407407</v>
      </c>
      <c r="I54" s="5" t="s">
        <v>28</v>
      </c>
      <c r="J54" s="5" t="s">
        <v>21</v>
      </c>
      <c r="K54" s="5" t="s">
        <v>22</v>
      </c>
      <c r="L54" s="5" t="s">
        <v>22</v>
      </c>
      <c r="M54" s="5">
        <v>5.0</v>
      </c>
      <c r="N54" s="5" t="s">
        <v>42</v>
      </c>
      <c r="O54" s="5" t="s">
        <v>23</v>
      </c>
      <c r="P54" s="3" t="s">
        <v>38</v>
      </c>
    </row>
    <row r="55">
      <c r="A55" s="4">
        <v>5.89933837E8</v>
      </c>
      <c r="B55" s="5" t="s">
        <v>34</v>
      </c>
      <c r="C55" s="5" t="s">
        <v>39</v>
      </c>
      <c r="D55" s="6">
        <f t="shared" si="7"/>
        <v>5566996356157</v>
      </c>
      <c r="E55" s="5" t="s">
        <v>40</v>
      </c>
      <c r="F55" s="5" t="s">
        <v>101</v>
      </c>
      <c r="G55" s="7">
        <v>45833.735983796294</v>
      </c>
      <c r="H55" s="7">
        <v>45833.758206018516</v>
      </c>
      <c r="I55" s="5" t="s">
        <v>28</v>
      </c>
      <c r="J55" s="5" t="s">
        <v>21</v>
      </c>
      <c r="K55" s="5" t="s">
        <v>22</v>
      </c>
      <c r="L55" s="5" t="s">
        <v>29</v>
      </c>
      <c r="M55" s="5">
        <v>5.0</v>
      </c>
      <c r="N55" s="5" t="s">
        <v>42</v>
      </c>
      <c r="O55" s="5" t="s">
        <v>23</v>
      </c>
      <c r="P55" s="3" t="s">
        <v>38</v>
      </c>
    </row>
    <row r="56">
      <c r="A56" s="4">
        <v>5.90192434E8</v>
      </c>
      <c r="B56" s="5" t="s">
        <v>34</v>
      </c>
      <c r="C56" s="5" t="s">
        <v>39</v>
      </c>
      <c r="D56" s="6">
        <f t="shared" si="7"/>
        <v>5566996356157</v>
      </c>
      <c r="E56" s="5" t="s">
        <v>141</v>
      </c>
      <c r="F56" s="5" t="s">
        <v>142</v>
      </c>
      <c r="G56" s="7">
        <v>45834.73186342593</v>
      </c>
      <c r="H56" s="7">
        <v>45834.73741898148</v>
      </c>
      <c r="I56" s="5" t="s">
        <v>28</v>
      </c>
      <c r="J56" s="5" t="s">
        <v>21</v>
      </c>
      <c r="K56" s="5" t="s">
        <v>22</v>
      </c>
      <c r="L56" s="5" t="s">
        <v>29</v>
      </c>
      <c r="M56" s="5">
        <v>5.0</v>
      </c>
      <c r="N56" s="5" t="s">
        <v>42</v>
      </c>
      <c r="O56" s="5" t="s">
        <v>23</v>
      </c>
      <c r="P56" s="3" t="s">
        <v>38</v>
      </c>
    </row>
    <row r="57">
      <c r="A57" s="4">
        <v>5.90185051E8</v>
      </c>
      <c r="B57" s="8" t="s">
        <v>34</v>
      </c>
      <c r="C57" s="8" t="s">
        <v>39</v>
      </c>
      <c r="D57" s="9">
        <f t="shared" si="7"/>
        <v>5566996356157</v>
      </c>
      <c r="E57" s="8" t="s">
        <v>40</v>
      </c>
      <c r="F57" s="8" t="s">
        <v>141</v>
      </c>
      <c r="G57" s="10">
        <v>45834.687939814816</v>
      </c>
      <c r="H57" s="10">
        <v>45834.69905092593</v>
      </c>
      <c r="I57" s="8" t="s">
        <v>28</v>
      </c>
      <c r="J57" s="8" t="s">
        <v>21</v>
      </c>
      <c r="K57" s="8" t="s">
        <v>22</v>
      </c>
      <c r="L57" s="8" t="s">
        <v>29</v>
      </c>
      <c r="M57" s="8">
        <v>5.0</v>
      </c>
      <c r="N57" s="8" t="s">
        <v>42</v>
      </c>
      <c r="O57" s="8" t="s">
        <v>23</v>
      </c>
      <c r="P57" s="3" t="s">
        <v>38</v>
      </c>
    </row>
    <row r="58">
      <c r="A58" s="4">
        <v>5.90170278E8</v>
      </c>
      <c r="B58" s="5" t="s">
        <v>135</v>
      </c>
      <c r="C58" s="5" t="s">
        <v>31</v>
      </c>
      <c r="D58" s="6">
        <f>+5566996790013</f>
        <v>5566996790013</v>
      </c>
      <c r="E58" s="5" t="s">
        <v>136</v>
      </c>
      <c r="F58" s="5" t="s">
        <v>143</v>
      </c>
      <c r="G58" s="7">
        <v>45834.59265046296</v>
      </c>
      <c r="H58" s="7">
        <v>45834.60028935185</v>
      </c>
      <c r="I58" s="5" t="s">
        <v>28</v>
      </c>
      <c r="J58" s="5" t="s">
        <v>21</v>
      </c>
      <c r="K58" s="5" t="s">
        <v>22</v>
      </c>
      <c r="L58" s="5" t="s">
        <v>29</v>
      </c>
      <c r="M58" s="5" t="s">
        <v>23</v>
      </c>
      <c r="N58" s="5" t="s">
        <v>23</v>
      </c>
      <c r="O58" s="5" t="s">
        <v>23</v>
      </c>
      <c r="P58" s="3" t="s">
        <v>38</v>
      </c>
    </row>
    <row r="59">
      <c r="A59" s="4">
        <v>5.90735324E8</v>
      </c>
      <c r="B59" s="5" t="s">
        <v>34</v>
      </c>
      <c r="C59" s="5" t="s">
        <v>144</v>
      </c>
      <c r="D59" s="6">
        <f>+5566999649994</f>
        <v>5566999649994</v>
      </c>
      <c r="E59" s="5" t="s">
        <v>145</v>
      </c>
      <c r="F59" s="5" t="s">
        <v>146</v>
      </c>
      <c r="G59" s="7">
        <v>45836.467511574076</v>
      </c>
      <c r="H59" s="7">
        <v>45836.46959490741</v>
      </c>
      <c r="I59" s="5" t="s">
        <v>28</v>
      </c>
      <c r="J59" s="5" t="s">
        <v>21</v>
      </c>
      <c r="K59" s="5" t="s">
        <v>22</v>
      </c>
      <c r="L59" s="5" t="s">
        <v>22</v>
      </c>
      <c r="M59" s="5">
        <v>5.0</v>
      </c>
      <c r="N59" s="5" t="s">
        <v>42</v>
      </c>
      <c r="O59" s="5" t="s">
        <v>23</v>
      </c>
      <c r="P59" s="3" t="s">
        <v>38</v>
      </c>
    </row>
    <row r="60">
      <c r="A60" s="4">
        <v>5.91224456E8</v>
      </c>
      <c r="B60" s="5" t="s">
        <v>34</v>
      </c>
      <c r="C60" s="5" t="s">
        <v>116</v>
      </c>
      <c r="D60" s="6">
        <f>+5566984675696</f>
        <v>5566984675696</v>
      </c>
      <c r="E60" s="5" t="s">
        <v>147</v>
      </c>
      <c r="F60" s="5" t="s">
        <v>148</v>
      </c>
      <c r="G60" s="7">
        <v>45838.18016203704</v>
      </c>
      <c r="H60" s="7">
        <v>45838.19127314815</v>
      </c>
      <c r="I60" s="5" t="s">
        <v>28</v>
      </c>
      <c r="J60" s="5" t="s">
        <v>21</v>
      </c>
      <c r="K60" s="5" t="s">
        <v>22</v>
      </c>
      <c r="L60" s="5" t="s">
        <v>22</v>
      </c>
      <c r="M60" s="5">
        <v>4.0</v>
      </c>
      <c r="N60" s="5" t="s">
        <v>23</v>
      </c>
      <c r="O60" s="5" t="s">
        <v>23</v>
      </c>
      <c r="P60" s="3" t="s">
        <v>38</v>
      </c>
    </row>
    <row r="61">
      <c r="A61" s="4">
        <v>5.92176755E8</v>
      </c>
      <c r="B61" s="5" t="s">
        <v>25</v>
      </c>
      <c r="C61" s="5" t="s">
        <v>149</v>
      </c>
      <c r="D61" s="6">
        <f>+5566997158161</f>
        <v>5566997158161</v>
      </c>
      <c r="E61" s="5" t="s">
        <v>150</v>
      </c>
      <c r="F61" s="5" t="s">
        <v>151</v>
      </c>
      <c r="G61" s="7">
        <v>45841.914189814815</v>
      </c>
      <c r="H61" s="7">
        <v>45841.917662037034</v>
      </c>
      <c r="I61" s="5" t="s">
        <v>28</v>
      </c>
      <c r="J61" s="5" t="s">
        <v>21</v>
      </c>
      <c r="K61" s="5" t="s">
        <v>22</v>
      </c>
      <c r="L61" s="5" t="s">
        <v>22</v>
      </c>
      <c r="M61" s="5">
        <v>3.0</v>
      </c>
      <c r="N61" s="5" t="s">
        <v>42</v>
      </c>
      <c r="O61" s="5" t="s">
        <v>23</v>
      </c>
      <c r="P61" s="3" t="s">
        <v>24</v>
      </c>
    </row>
    <row r="62">
      <c r="A62" s="4">
        <v>5.9217517E8</v>
      </c>
      <c r="B62" s="8" t="s">
        <v>25</v>
      </c>
      <c r="C62" s="8" t="s">
        <v>132</v>
      </c>
      <c r="D62" s="9">
        <f>+5593981183288</f>
        <v>5593981183288</v>
      </c>
      <c r="E62" s="8" t="s">
        <v>152</v>
      </c>
      <c r="F62" s="8" t="s">
        <v>151</v>
      </c>
      <c r="G62" s="10">
        <v>45841.90392361111</v>
      </c>
      <c r="H62" s="10">
        <v>45841.908784722225</v>
      </c>
      <c r="I62" s="8" t="s">
        <v>28</v>
      </c>
      <c r="J62" s="8" t="s">
        <v>21</v>
      </c>
      <c r="K62" s="8" t="s">
        <v>22</v>
      </c>
      <c r="L62" s="8" t="s">
        <v>22</v>
      </c>
      <c r="M62" s="8" t="s">
        <v>23</v>
      </c>
      <c r="N62" s="8" t="s">
        <v>23</v>
      </c>
      <c r="O62" s="8" t="s">
        <v>23</v>
      </c>
      <c r="P62" s="3" t="s">
        <v>24</v>
      </c>
    </row>
    <row r="63">
      <c r="A63" s="4">
        <v>5.92124862E8</v>
      </c>
      <c r="B63" s="5" t="s">
        <v>68</v>
      </c>
      <c r="C63" s="5" t="s">
        <v>31</v>
      </c>
      <c r="D63" s="6">
        <f>+556996020865</f>
        <v>556996020865</v>
      </c>
      <c r="E63" s="5" t="s">
        <v>153</v>
      </c>
      <c r="F63" s="5" t="s">
        <v>154</v>
      </c>
      <c r="G63" s="7">
        <v>45841.5746875</v>
      </c>
      <c r="H63" s="7">
        <v>45841.577465277776</v>
      </c>
      <c r="I63" s="5" t="s">
        <v>28</v>
      </c>
      <c r="J63" s="5" t="s">
        <v>21</v>
      </c>
      <c r="K63" s="5" t="s">
        <v>22</v>
      </c>
      <c r="L63" s="5" t="s">
        <v>29</v>
      </c>
      <c r="M63" s="5" t="s">
        <v>23</v>
      </c>
      <c r="N63" s="5" t="s">
        <v>23</v>
      </c>
      <c r="O63" s="5" t="s">
        <v>23</v>
      </c>
      <c r="P63" s="3" t="s">
        <v>38</v>
      </c>
    </row>
    <row r="64">
      <c r="A64" s="4">
        <v>5.92510257E8</v>
      </c>
      <c r="B64" s="5" t="s">
        <v>25</v>
      </c>
      <c r="C64" s="5" t="s">
        <v>31</v>
      </c>
      <c r="D64" s="6">
        <f>+5566999069527</f>
        <v>5566999069527</v>
      </c>
      <c r="E64" s="5" t="s">
        <v>155</v>
      </c>
      <c r="F64" s="5" t="s">
        <v>151</v>
      </c>
      <c r="G64" s="7">
        <v>45842.94142361111</v>
      </c>
      <c r="H64" s="7">
        <v>45842.94767361111</v>
      </c>
      <c r="I64" s="5" t="s">
        <v>28</v>
      </c>
      <c r="J64" s="5" t="s">
        <v>21</v>
      </c>
      <c r="K64" s="5" t="s">
        <v>22</v>
      </c>
      <c r="L64" s="5" t="s">
        <v>22</v>
      </c>
      <c r="M64" s="5">
        <v>4.0</v>
      </c>
      <c r="N64" s="5" t="s">
        <v>42</v>
      </c>
      <c r="O64" s="5" t="s">
        <v>23</v>
      </c>
      <c r="P64" s="3" t="s">
        <v>24</v>
      </c>
    </row>
    <row r="65">
      <c r="A65" s="4">
        <v>5.92473029E8</v>
      </c>
      <c r="B65" s="8" t="s">
        <v>34</v>
      </c>
      <c r="C65" s="8" t="s">
        <v>31</v>
      </c>
      <c r="D65" s="9">
        <f>+559381135614</f>
        <v>559381135614</v>
      </c>
      <c r="E65" s="8" t="s">
        <v>156</v>
      </c>
      <c r="F65" s="8" t="s">
        <v>157</v>
      </c>
      <c r="G65" s="10">
        <v>45842.74793981481</v>
      </c>
      <c r="H65" s="10">
        <v>45842.75071759259</v>
      </c>
      <c r="I65" s="8" t="s">
        <v>28</v>
      </c>
      <c r="J65" s="8" t="s">
        <v>21</v>
      </c>
      <c r="K65" s="8" t="s">
        <v>22</v>
      </c>
      <c r="L65" s="8" t="s">
        <v>29</v>
      </c>
      <c r="M65" s="8" t="s">
        <v>23</v>
      </c>
      <c r="N65" s="8" t="s">
        <v>23</v>
      </c>
      <c r="O65" s="8" t="s">
        <v>23</v>
      </c>
      <c r="P65" s="3" t="s">
        <v>38</v>
      </c>
    </row>
    <row r="66">
      <c r="A66" s="4">
        <v>5.92471548E8</v>
      </c>
      <c r="B66" s="5" t="s">
        <v>34</v>
      </c>
      <c r="C66" s="5" t="s">
        <v>31</v>
      </c>
      <c r="D66" s="6">
        <f>+55669381135614</f>
        <v>55669381135614</v>
      </c>
      <c r="E66" s="5" t="s">
        <v>158</v>
      </c>
      <c r="F66" s="5" t="s">
        <v>159</v>
      </c>
      <c r="G66" s="7">
        <v>45842.7406712963</v>
      </c>
      <c r="H66" s="7">
        <v>45842.74275462963</v>
      </c>
      <c r="I66" s="5" t="s">
        <v>28</v>
      </c>
      <c r="J66" s="5" t="s">
        <v>21</v>
      </c>
      <c r="K66" s="5" t="s">
        <v>22</v>
      </c>
      <c r="L66" s="5" t="s">
        <v>29</v>
      </c>
      <c r="M66" s="5" t="s">
        <v>23</v>
      </c>
      <c r="N66" s="5" t="s">
        <v>23</v>
      </c>
      <c r="O66" s="5" t="s">
        <v>23</v>
      </c>
      <c r="P66" s="3" t="s">
        <v>38</v>
      </c>
    </row>
    <row r="67">
      <c r="A67" s="4">
        <v>5.93151963E8</v>
      </c>
      <c r="B67" s="5" t="s">
        <v>34</v>
      </c>
      <c r="C67" s="5" t="s">
        <v>48</v>
      </c>
      <c r="D67" s="6">
        <f>+5566999576629</f>
        <v>5566999576629</v>
      </c>
      <c r="E67" s="5" t="s">
        <v>160</v>
      </c>
      <c r="F67" s="5" t="s">
        <v>161</v>
      </c>
      <c r="G67" s="7">
        <v>45844.57587962963</v>
      </c>
      <c r="H67" s="7">
        <v>45844.58907407407</v>
      </c>
      <c r="I67" s="5" t="s">
        <v>28</v>
      </c>
      <c r="J67" s="5" t="s">
        <v>21</v>
      </c>
      <c r="K67" s="5" t="s">
        <v>22</v>
      </c>
      <c r="L67" s="5" t="s">
        <v>29</v>
      </c>
      <c r="M67" s="5">
        <v>5.0</v>
      </c>
      <c r="N67" s="5" t="s">
        <v>23</v>
      </c>
      <c r="O67" s="5" t="s">
        <v>23</v>
      </c>
      <c r="P67" s="3" t="s">
        <v>38</v>
      </c>
    </row>
    <row r="68">
      <c r="A68" s="4">
        <v>9.3693597E7</v>
      </c>
      <c r="B68" s="8" t="s">
        <v>34</v>
      </c>
      <c r="C68" s="8" t="s">
        <v>31</v>
      </c>
      <c r="D68" s="9">
        <f>+55669963556157</f>
        <v>55669963556157</v>
      </c>
      <c r="E68" s="8" t="s">
        <v>49</v>
      </c>
      <c r="F68" s="8" t="s">
        <v>162</v>
      </c>
      <c r="G68" s="10">
        <v>45846.61604166667</v>
      </c>
      <c r="H68" s="10">
        <v>45846.62090277778</v>
      </c>
      <c r="I68" s="8" t="s">
        <v>28</v>
      </c>
      <c r="J68" s="8" t="s">
        <v>21</v>
      </c>
      <c r="K68" s="8" t="s">
        <v>22</v>
      </c>
      <c r="L68" s="8" t="s">
        <v>29</v>
      </c>
      <c r="M68" s="8" t="s">
        <v>23</v>
      </c>
      <c r="N68" s="8" t="s">
        <v>23</v>
      </c>
      <c r="O68" s="8" t="s">
        <v>23</v>
      </c>
      <c r="P68" s="3" t="s">
        <v>38</v>
      </c>
    </row>
    <row r="69">
      <c r="A69" s="4">
        <v>5.94932725E8</v>
      </c>
      <c r="B69" s="5" t="s">
        <v>30</v>
      </c>
      <c r="C69" s="5" t="s">
        <v>116</v>
      </c>
      <c r="D69" s="6">
        <f>+5566984675696</f>
        <v>5566984675696</v>
      </c>
      <c r="E69" s="5" t="s">
        <v>163</v>
      </c>
      <c r="F69" s="5" t="s">
        <v>164</v>
      </c>
      <c r="G69" s="7">
        <v>45851.88182870371</v>
      </c>
      <c r="H69" s="7">
        <v>45851.89224537037</v>
      </c>
      <c r="I69" s="5" t="s">
        <v>28</v>
      </c>
      <c r="J69" s="5" t="s">
        <v>21</v>
      </c>
      <c r="K69" s="5" t="s">
        <v>22</v>
      </c>
      <c r="L69" s="5" t="s">
        <v>22</v>
      </c>
      <c r="M69" s="5" t="s">
        <v>23</v>
      </c>
      <c r="N69" s="5" t="s">
        <v>23</v>
      </c>
      <c r="O69" s="5" t="s">
        <v>23</v>
      </c>
      <c r="P69" s="3" t="s">
        <v>24</v>
      </c>
    </row>
    <row r="70">
      <c r="A70" s="4">
        <v>5.951447E8</v>
      </c>
      <c r="B70" s="5" t="s">
        <v>25</v>
      </c>
      <c r="C70" s="5" t="s">
        <v>119</v>
      </c>
      <c r="D70" s="6">
        <f>+5593992024339</f>
        <v>5593992024339</v>
      </c>
      <c r="E70" s="5" t="s">
        <v>164</v>
      </c>
      <c r="F70" s="5" t="s">
        <v>165</v>
      </c>
      <c r="G70" s="7">
        <v>45852.57019675926</v>
      </c>
      <c r="H70" s="7">
        <v>45852.57366898148</v>
      </c>
      <c r="I70" s="5" t="s">
        <v>28</v>
      </c>
      <c r="J70" s="5" t="s">
        <v>21</v>
      </c>
      <c r="K70" s="5" t="s">
        <v>22</v>
      </c>
      <c r="L70" s="5" t="s">
        <v>22</v>
      </c>
      <c r="M70" s="5">
        <v>1.0</v>
      </c>
      <c r="N70" s="5" t="s">
        <v>42</v>
      </c>
      <c r="O70" s="5" t="s">
        <v>23</v>
      </c>
      <c r="P70" s="3" t="s">
        <v>24</v>
      </c>
    </row>
    <row r="71">
      <c r="A71" s="4">
        <v>5.95341618E8</v>
      </c>
      <c r="B71" s="5" t="s">
        <v>34</v>
      </c>
      <c r="C71" s="5" t="s">
        <v>31</v>
      </c>
      <c r="D71" s="6">
        <f>+5566999743637</f>
        <v>5566999743637</v>
      </c>
      <c r="E71" s="5" t="s">
        <v>164</v>
      </c>
      <c r="F71" s="5" t="s">
        <v>164</v>
      </c>
      <c r="G71" s="7">
        <v>45853.56928240741</v>
      </c>
      <c r="H71" s="7">
        <v>45853.5769212963</v>
      </c>
      <c r="I71" s="5" t="s">
        <v>28</v>
      </c>
      <c r="J71" s="5" t="s">
        <v>21</v>
      </c>
      <c r="K71" s="5" t="s">
        <v>22</v>
      </c>
      <c r="L71" s="5" t="s">
        <v>29</v>
      </c>
      <c r="M71" s="5" t="s">
        <v>23</v>
      </c>
      <c r="N71" s="5" t="s">
        <v>23</v>
      </c>
      <c r="O71" s="5" t="s">
        <v>23</v>
      </c>
      <c r="P71" s="3" t="s">
        <v>38</v>
      </c>
    </row>
    <row r="72">
      <c r="A72" s="4">
        <v>5.95732519E8</v>
      </c>
      <c r="B72" s="5" t="s">
        <v>34</v>
      </c>
      <c r="C72" s="5" t="s">
        <v>31</v>
      </c>
      <c r="D72" s="6">
        <f>+5566999289363</f>
        <v>5566999289363</v>
      </c>
      <c r="E72" s="5" t="s">
        <v>164</v>
      </c>
      <c r="F72" s="5" t="s">
        <v>164</v>
      </c>
      <c r="G72" s="7">
        <v>45855.57550925926</v>
      </c>
      <c r="H72" s="7">
        <v>45855.58037037037</v>
      </c>
      <c r="I72" s="5" t="s">
        <v>28</v>
      </c>
      <c r="J72" s="5" t="s">
        <v>21</v>
      </c>
      <c r="K72" s="5" t="s">
        <v>22</v>
      </c>
      <c r="L72" s="5" t="s">
        <v>29</v>
      </c>
      <c r="M72" s="5" t="s">
        <v>23</v>
      </c>
      <c r="N72" s="5" t="s">
        <v>23</v>
      </c>
      <c r="O72" s="5" t="s">
        <v>23</v>
      </c>
      <c r="P72" s="3" t="s">
        <v>38</v>
      </c>
    </row>
    <row r="73">
      <c r="A73" s="4">
        <v>5.95725131E8</v>
      </c>
      <c r="B73" s="8" t="s">
        <v>34</v>
      </c>
      <c r="C73" s="8" t="s">
        <v>166</v>
      </c>
      <c r="D73" s="9">
        <f>+5566999652672</f>
        <v>5566999652672</v>
      </c>
      <c r="E73" s="8" t="s">
        <v>164</v>
      </c>
      <c r="F73" s="8" t="s">
        <v>164</v>
      </c>
      <c r="G73" s="10">
        <v>45855.5246412037</v>
      </c>
      <c r="H73" s="10">
        <v>45855.53019675926</v>
      </c>
      <c r="I73" s="8" t="s">
        <v>28</v>
      </c>
      <c r="J73" s="8" t="s">
        <v>21</v>
      </c>
      <c r="K73" s="8" t="s">
        <v>22</v>
      </c>
      <c r="L73" s="8" t="s">
        <v>29</v>
      </c>
      <c r="M73" s="8">
        <v>5.0</v>
      </c>
      <c r="N73" s="8" t="s">
        <v>42</v>
      </c>
      <c r="O73" s="8" t="s">
        <v>23</v>
      </c>
      <c r="P73" s="3" t="s">
        <v>38</v>
      </c>
    </row>
    <row r="74">
      <c r="A74" s="4">
        <v>5.95674205E8</v>
      </c>
      <c r="B74" s="5" t="s">
        <v>34</v>
      </c>
      <c r="C74" s="5" t="s">
        <v>126</v>
      </c>
      <c r="D74" s="6">
        <f>+5573998669450</f>
        <v>5573998669450</v>
      </c>
      <c r="E74" s="5" t="s">
        <v>164</v>
      </c>
      <c r="F74" s="5" t="s">
        <v>164</v>
      </c>
      <c r="G74" s="7">
        <v>45855.355775462966</v>
      </c>
      <c r="H74" s="7">
        <v>45855.3578587963</v>
      </c>
      <c r="I74" s="5" t="s">
        <v>28</v>
      </c>
      <c r="J74" s="5" t="s">
        <v>21</v>
      </c>
      <c r="K74" s="5" t="s">
        <v>22</v>
      </c>
      <c r="L74" s="5" t="s">
        <v>29</v>
      </c>
      <c r="M74" s="5">
        <v>5.0</v>
      </c>
      <c r="N74" s="5" t="s">
        <v>42</v>
      </c>
      <c r="O74" s="5" t="s">
        <v>23</v>
      </c>
      <c r="P74" s="3" t="s">
        <v>38</v>
      </c>
    </row>
    <row r="75">
      <c r="A75" s="4">
        <v>5.96413506E8</v>
      </c>
      <c r="B75" s="5" t="s">
        <v>34</v>
      </c>
      <c r="C75" s="5" t="s">
        <v>31</v>
      </c>
      <c r="D75" s="6">
        <f t="shared" ref="D75:D76" si="8">+5593981135614</f>
        <v>5593981135614</v>
      </c>
      <c r="E75" s="5" t="s">
        <v>164</v>
      </c>
      <c r="F75" s="5" t="s">
        <v>164</v>
      </c>
      <c r="G75" s="7">
        <v>45858.811319444445</v>
      </c>
      <c r="H75" s="7">
        <v>45858.81618055556</v>
      </c>
      <c r="I75" s="5" t="s">
        <v>28</v>
      </c>
      <c r="J75" s="5" t="s">
        <v>21</v>
      </c>
      <c r="K75" s="5" t="s">
        <v>22</v>
      </c>
      <c r="L75" s="5" t="s">
        <v>29</v>
      </c>
      <c r="M75" s="5" t="s">
        <v>23</v>
      </c>
      <c r="N75" s="5" t="s">
        <v>23</v>
      </c>
      <c r="O75" s="5" t="s">
        <v>23</v>
      </c>
      <c r="P75" s="3" t="s">
        <v>38</v>
      </c>
    </row>
    <row r="76">
      <c r="A76" s="4">
        <v>5.96380609E8</v>
      </c>
      <c r="B76" s="8" t="s">
        <v>34</v>
      </c>
      <c r="C76" s="8" t="s">
        <v>31</v>
      </c>
      <c r="D76" s="9">
        <f t="shared" si="8"/>
        <v>5593981135614</v>
      </c>
      <c r="E76" s="8" t="s">
        <v>164</v>
      </c>
      <c r="F76" s="8" t="s">
        <v>164</v>
      </c>
      <c r="G76" s="10">
        <v>45858.56465277778</v>
      </c>
      <c r="H76" s="10">
        <v>45858.568125</v>
      </c>
      <c r="I76" s="8" t="s">
        <v>28</v>
      </c>
      <c r="J76" s="8" t="s">
        <v>21</v>
      </c>
      <c r="K76" s="8" t="s">
        <v>22</v>
      </c>
      <c r="L76" s="8" t="s">
        <v>29</v>
      </c>
      <c r="M76" s="8" t="s">
        <v>23</v>
      </c>
      <c r="N76" s="8" t="s">
        <v>23</v>
      </c>
      <c r="O76" s="8" t="s">
        <v>23</v>
      </c>
      <c r="P76" s="3" t="s">
        <v>38</v>
      </c>
    </row>
    <row r="77">
      <c r="A77" s="4">
        <v>5.96844293E8</v>
      </c>
      <c r="B77" s="5" t="s">
        <v>88</v>
      </c>
      <c r="C77" s="5" t="s">
        <v>167</v>
      </c>
      <c r="D77" s="6">
        <f>+5593992399795</f>
        <v>5593992399795</v>
      </c>
      <c r="E77" s="5" t="s">
        <v>168</v>
      </c>
      <c r="F77" s="5" t="s">
        <v>164</v>
      </c>
      <c r="G77" s="7">
        <v>45860.844872685186</v>
      </c>
      <c r="H77" s="7">
        <v>45860.844872685186</v>
      </c>
      <c r="I77" s="5" t="s">
        <v>28</v>
      </c>
      <c r="J77" s="5" t="s">
        <v>21</v>
      </c>
      <c r="K77" s="14">
        <v>875918.0</v>
      </c>
      <c r="L77" s="5" t="s">
        <v>22</v>
      </c>
      <c r="M77" s="5">
        <v>3.0</v>
      </c>
      <c r="N77" s="5" t="s">
        <v>23</v>
      </c>
      <c r="O77" s="5" t="s">
        <v>23</v>
      </c>
      <c r="P77" s="3" t="s">
        <v>38</v>
      </c>
    </row>
    <row r="78">
      <c r="A78" s="4">
        <v>5.97222124E8</v>
      </c>
      <c r="B78" s="5" t="s">
        <v>34</v>
      </c>
      <c r="C78" s="5" t="s">
        <v>166</v>
      </c>
      <c r="D78" s="6">
        <f>+5566999652672</f>
        <v>5566999652672</v>
      </c>
      <c r="E78" s="5" t="s">
        <v>164</v>
      </c>
      <c r="F78" s="5" t="s">
        <v>164</v>
      </c>
      <c r="G78" s="7">
        <v>45862.77142361111</v>
      </c>
      <c r="H78" s="7">
        <v>45862.77559027778</v>
      </c>
      <c r="I78" s="5" t="s">
        <v>28</v>
      </c>
      <c r="J78" s="5" t="s">
        <v>21</v>
      </c>
      <c r="K78" s="5" t="s">
        <v>22</v>
      </c>
      <c r="L78" s="5" t="s">
        <v>29</v>
      </c>
      <c r="M78" s="5">
        <v>5.0</v>
      </c>
      <c r="N78" s="5" t="s">
        <v>42</v>
      </c>
      <c r="O78" s="5" t="s">
        <v>23</v>
      </c>
      <c r="P78" s="3" t="s">
        <v>38</v>
      </c>
    </row>
    <row r="79">
      <c r="A79" s="4">
        <v>5.98485007E8</v>
      </c>
      <c r="B79" s="5" t="s">
        <v>34</v>
      </c>
      <c r="C79" s="5" t="s">
        <v>31</v>
      </c>
      <c r="D79" s="6">
        <f>+5593981135614</f>
        <v>5593981135614</v>
      </c>
      <c r="E79" s="5" t="s">
        <v>164</v>
      </c>
      <c r="F79" s="5" t="s">
        <v>164</v>
      </c>
      <c r="G79" s="7">
        <v>45867.734189814815</v>
      </c>
      <c r="H79" s="7">
        <v>45867.75016203704</v>
      </c>
      <c r="I79" s="5" t="s">
        <v>28</v>
      </c>
      <c r="J79" s="5" t="s">
        <v>21</v>
      </c>
      <c r="K79" s="5" t="s">
        <v>22</v>
      </c>
      <c r="L79" s="5" t="s">
        <v>29</v>
      </c>
      <c r="M79" s="5" t="s">
        <v>23</v>
      </c>
      <c r="N79" s="5" t="s">
        <v>23</v>
      </c>
      <c r="O79" s="5" t="s">
        <v>23</v>
      </c>
      <c r="P79" s="3" t="s">
        <v>38</v>
      </c>
    </row>
    <row r="80">
      <c r="A80" s="4">
        <v>6.00442465E8</v>
      </c>
      <c r="B80" s="5" t="s">
        <v>25</v>
      </c>
      <c r="C80" s="5" t="s">
        <v>31</v>
      </c>
      <c r="D80" s="6">
        <f>+5566999069527</f>
        <v>5566999069527</v>
      </c>
      <c r="E80" s="5" t="s">
        <v>164</v>
      </c>
      <c r="F80" s="5" t="s">
        <v>169</v>
      </c>
      <c r="G80" s="7">
        <v>45875.82844907408</v>
      </c>
      <c r="H80" s="7">
        <v>45875.83053240741</v>
      </c>
      <c r="I80" s="5" t="s">
        <v>28</v>
      </c>
      <c r="J80" s="5" t="s">
        <v>21</v>
      </c>
      <c r="K80" s="5" t="s">
        <v>22</v>
      </c>
      <c r="L80" s="5" t="s">
        <v>22</v>
      </c>
      <c r="M80" s="5" t="s">
        <v>23</v>
      </c>
      <c r="N80" s="5" t="s">
        <v>23</v>
      </c>
      <c r="O80" s="5" t="s">
        <v>23</v>
      </c>
      <c r="P80" s="3" t="s">
        <v>38</v>
      </c>
    </row>
    <row r="81">
      <c r="A81" s="1">
        <v>5.73905553E8</v>
      </c>
      <c r="B81" s="2" t="s">
        <v>170</v>
      </c>
      <c r="C81" s="2" t="s">
        <v>171</v>
      </c>
      <c r="D81" s="15">
        <f>+5566996679913</f>
        <v>5566996679913</v>
      </c>
      <c r="E81" s="2" t="s">
        <v>172</v>
      </c>
      <c r="F81" s="2" t="s">
        <v>173</v>
      </c>
      <c r="G81" s="16">
        <v>45764.679074074076</v>
      </c>
      <c r="H81" s="16">
        <v>45764.682546296295</v>
      </c>
      <c r="I81" s="2" t="s">
        <v>28</v>
      </c>
      <c r="J81" s="2" t="s">
        <v>21</v>
      </c>
      <c r="K81" s="2" t="s">
        <v>22</v>
      </c>
      <c r="L81" s="2" t="s">
        <v>11</v>
      </c>
      <c r="M81" s="2">
        <v>5.0</v>
      </c>
      <c r="N81" s="2" t="s">
        <v>23</v>
      </c>
      <c r="O81" s="2" t="s">
        <v>23</v>
      </c>
      <c r="P81" s="3" t="s">
        <v>174</v>
      </c>
    </row>
    <row r="82">
      <c r="A82" s="1">
        <v>5.75408688E8</v>
      </c>
      <c r="B82" s="2" t="s">
        <v>175</v>
      </c>
      <c r="C82" s="2" t="s">
        <v>176</v>
      </c>
      <c r="D82" s="15">
        <f>+5566997194715</f>
        <v>5566997194715</v>
      </c>
      <c r="E82" s="2" t="s">
        <v>177</v>
      </c>
      <c r="F82" s="2" t="s">
        <v>178</v>
      </c>
      <c r="G82" s="16">
        <v>45771.76403935185</v>
      </c>
      <c r="H82" s="16">
        <v>45771.7647337963</v>
      </c>
      <c r="I82" s="2" t="s">
        <v>20</v>
      </c>
      <c r="J82" s="2" t="s">
        <v>21</v>
      </c>
      <c r="K82" s="2" t="s">
        <v>22</v>
      </c>
      <c r="L82" s="2" t="s">
        <v>22</v>
      </c>
      <c r="M82" s="2">
        <v>5.0</v>
      </c>
      <c r="N82" s="2" t="s">
        <v>23</v>
      </c>
      <c r="O82" s="2" t="s">
        <v>23</v>
      </c>
      <c r="P82" s="3" t="s">
        <v>174</v>
      </c>
    </row>
    <row r="83">
      <c r="A83" s="1">
        <v>5.7806996E8</v>
      </c>
      <c r="B83" s="2" t="s">
        <v>179</v>
      </c>
      <c r="C83" s="2" t="s">
        <v>180</v>
      </c>
      <c r="D83" s="15">
        <f>+5566999441905</f>
        <v>5566999441905</v>
      </c>
      <c r="E83" s="2" t="s">
        <v>181</v>
      </c>
      <c r="F83" s="2" t="s">
        <v>182</v>
      </c>
      <c r="G83" s="16">
        <v>45782.75907407407</v>
      </c>
      <c r="H83" s="16">
        <v>45782.75907407407</v>
      </c>
      <c r="I83" s="2" t="s">
        <v>28</v>
      </c>
      <c r="J83" s="2" t="s">
        <v>21</v>
      </c>
      <c r="K83" s="2" t="s">
        <v>22</v>
      </c>
      <c r="L83" s="2" t="s">
        <v>22</v>
      </c>
      <c r="M83" s="2">
        <v>5.0</v>
      </c>
      <c r="N83" s="2" t="s">
        <v>23</v>
      </c>
      <c r="O83" s="2" t="s">
        <v>23</v>
      </c>
      <c r="P83" s="3" t="s">
        <v>174</v>
      </c>
    </row>
    <row r="84">
      <c r="A84" s="1">
        <v>5.78745266E8</v>
      </c>
      <c r="B84" s="2" t="s">
        <v>179</v>
      </c>
      <c r="C84" s="2" t="s">
        <v>183</v>
      </c>
      <c r="D84" s="15">
        <f>+5596991245125</f>
        <v>5596991245125</v>
      </c>
      <c r="E84" s="2" t="s">
        <v>184</v>
      </c>
      <c r="F84" s="2" t="s">
        <v>185</v>
      </c>
      <c r="G84" s="16">
        <v>45785.54688657408</v>
      </c>
      <c r="H84" s="16">
        <v>45785.55105324074</v>
      </c>
      <c r="I84" s="2" t="s">
        <v>20</v>
      </c>
      <c r="J84" s="2" t="s">
        <v>21</v>
      </c>
      <c r="K84" s="2" t="s">
        <v>22</v>
      </c>
      <c r="L84" s="2" t="s">
        <v>22</v>
      </c>
      <c r="M84" s="2">
        <v>5.0</v>
      </c>
      <c r="N84" s="2" t="s">
        <v>23</v>
      </c>
      <c r="O84" s="2" t="s">
        <v>23</v>
      </c>
      <c r="P84" s="3" t="s">
        <v>174</v>
      </c>
    </row>
    <row r="85">
      <c r="A85" s="1">
        <v>5.79248675E8</v>
      </c>
      <c r="B85" s="2" t="s">
        <v>179</v>
      </c>
      <c r="C85" s="2" t="s">
        <v>186</v>
      </c>
      <c r="D85" s="15">
        <f>+5568992068434</f>
        <v>5568992068434</v>
      </c>
      <c r="E85" s="2" t="s">
        <v>187</v>
      </c>
      <c r="F85" s="2" t="s">
        <v>188</v>
      </c>
      <c r="G85" s="16">
        <v>45787.91002314815</v>
      </c>
      <c r="H85" s="16">
        <v>45787.92113425926</v>
      </c>
      <c r="I85" s="2" t="s">
        <v>28</v>
      </c>
      <c r="J85" s="2" t="s">
        <v>21</v>
      </c>
      <c r="K85" s="2" t="s">
        <v>22</v>
      </c>
      <c r="L85" s="2" t="s">
        <v>22</v>
      </c>
      <c r="M85" s="2" t="s">
        <v>23</v>
      </c>
      <c r="N85" s="2" t="s">
        <v>23</v>
      </c>
      <c r="O85" s="2" t="s">
        <v>23</v>
      </c>
      <c r="P85" s="3" t="s">
        <v>174</v>
      </c>
    </row>
    <row r="86">
      <c r="A86" s="1">
        <v>5.79678148E8</v>
      </c>
      <c r="B86" s="2" t="s">
        <v>179</v>
      </c>
      <c r="C86" s="2" t="s">
        <v>189</v>
      </c>
      <c r="D86" s="15">
        <f>+5566996444091</f>
        <v>5566996444091</v>
      </c>
      <c r="E86" s="2" t="s">
        <v>190</v>
      </c>
      <c r="F86" s="2" t="s">
        <v>191</v>
      </c>
      <c r="G86" s="16">
        <v>45789.63930555555</v>
      </c>
      <c r="H86" s="16">
        <v>45789.64277777778</v>
      </c>
      <c r="I86" s="2" t="s">
        <v>28</v>
      </c>
      <c r="J86" s="2" t="s">
        <v>21</v>
      </c>
      <c r="K86" s="2" t="s">
        <v>22</v>
      </c>
      <c r="L86" s="2" t="s">
        <v>11</v>
      </c>
      <c r="M86" s="2" t="s">
        <v>23</v>
      </c>
      <c r="N86" s="2" t="s">
        <v>23</v>
      </c>
      <c r="O86" s="2" t="s">
        <v>23</v>
      </c>
      <c r="P86" s="3" t="s">
        <v>174</v>
      </c>
    </row>
    <row r="87">
      <c r="A87" s="1">
        <v>5.79859088E8</v>
      </c>
      <c r="B87" s="2" t="s">
        <v>179</v>
      </c>
      <c r="C87" s="2" t="s">
        <v>180</v>
      </c>
      <c r="D87" s="15">
        <f t="shared" ref="D87:D88" si="9">+5566999441905</f>
        <v>5566999441905</v>
      </c>
      <c r="E87" s="2" t="s">
        <v>192</v>
      </c>
      <c r="F87" s="2" t="s">
        <v>193</v>
      </c>
      <c r="G87" s="16">
        <v>45790.62322916667</v>
      </c>
      <c r="H87" s="16">
        <v>45790.62809027778</v>
      </c>
      <c r="I87" s="2" t="s">
        <v>28</v>
      </c>
      <c r="J87" s="2" t="s">
        <v>21</v>
      </c>
      <c r="K87" s="2" t="s">
        <v>22</v>
      </c>
      <c r="L87" s="2" t="s">
        <v>11</v>
      </c>
      <c r="M87" s="2">
        <v>5.0</v>
      </c>
      <c r="N87" s="2" t="s">
        <v>23</v>
      </c>
      <c r="O87" s="2" t="s">
        <v>23</v>
      </c>
      <c r="P87" s="3" t="s">
        <v>174</v>
      </c>
    </row>
    <row r="88">
      <c r="A88" s="1">
        <v>5.80248089E8</v>
      </c>
      <c r="B88" s="2" t="s">
        <v>179</v>
      </c>
      <c r="C88" s="2" t="s">
        <v>180</v>
      </c>
      <c r="D88" s="15">
        <f t="shared" si="9"/>
        <v>5566999441905</v>
      </c>
      <c r="E88" s="2" t="s">
        <v>182</v>
      </c>
      <c r="F88" s="2" t="s">
        <v>194</v>
      </c>
      <c r="G88" s="16">
        <v>45792.59303240741</v>
      </c>
      <c r="H88" s="16">
        <v>45792.6069212963</v>
      </c>
      <c r="I88" s="2" t="s">
        <v>28</v>
      </c>
      <c r="J88" s="2" t="s">
        <v>21</v>
      </c>
      <c r="K88" s="2" t="s">
        <v>22</v>
      </c>
      <c r="L88" s="2" t="s">
        <v>11</v>
      </c>
      <c r="M88" s="2">
        <v>5.0</v>
      </c>
      <c r="N88" s="2" t="s">
        <v>23</v>
      </c>
      <c r="O88" s="2" t="s">
        <v>23</v>
      </c>
      <c r="P88" s="3" t="s">
        <v>174</v>
      </c>
    </row>
    <row r="89">
      <c r="A89" s="4">
        <v>5.86755055E8</v>
      </c>
      <c r="B89" s="5" t="s">
        <v>170</v>
      </c>
      <c r="C89" s="5" t="s">
        <v>195</v>
      </c>
      <c r="D89" s="6">
        <f>+5599991250985</f>
        <v>5599991250985</v>
      </c>
      <c r="E89" s="5" t="s">
        <v>196</v>
      </c>
      <c r="F89" s="5" t="s">
        <v>197</v>
      </c>
      <c r="G89" s="7">
        <v>45820.8662962963</v>
      </c>
      <c r="H89" s="7">
        <v>45820.8662962963</v>
      </c>
      <c r="I89" s="5" t="s">
        <v>28</v>
      </c>
      <c r="J89" s="5" t="s">
        <v>21</v>
      </c>
      <c r="K89" s="5" t="s">
        <v>22</v>
      </c>
      <c r="L89" s="5" t="s">
        <v>22</v>
      </c>
      <c r="M89" s="5">
        <v>5.0</v>
      </c>
      <c r="N89" s="5" t="s">
        <v>23</v>
      </c>
      <c r="O89" s="5" t="s">
        <v>23</v>
      </c>
      <c r="P89" s="3" t="s">
        <v>174</v>
      </c>
    </row>
  </sheetData>
  <drawing r:id="rId1"/>
</worksheet>
</file>