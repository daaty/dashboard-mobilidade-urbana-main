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ed Rides" sheetId="1" r:id="rId4"/>
    <sheet state="visible" name="Pending Rides" sheetId="2" r:id="rId5"/>
  </sheets>
  <definedNames/>
  <calcPr/>
</workbook>
</file>

<file path=xl/sharedStrings.xml><?xml version="1.0" encoding="utf-8"?>
<sst xmlns="http://schemas.openxmlformats.org/spreadsheetml/2006/main" count="353" uniqueCount="70">
  <si>
    <t>Request ID</t>
  </si>
  <si>
    <t>User Name</t>
  </si>
  <si>
    <t>Phone Number</t>
  </si>
  <si>
    <t>Pickup</t>
  </si>
  <si>
    <t>Vehicle Type</t>
  </si>
  <si>
    <t>Missed Ride Type</t>
  </si>
  <si>
    <t>Request Time</t>
  </si>
  <si>
    <t>Action</t>
  </si>
  <si>
    <t>City</t>
  </si>
  <si>
    <t>Maycon Batista</t>
  </si>
  <si>
    <t>Avenida Rotary Internacional, 90, Aeroporto, Peixoto de Azevedo, Mato Grosso</t>
  </si>
  <si>
    <t>POPULAR</t>
  </si>
  <si>
    <t>Timeout Ride</t>
  </si>
  <si>
    <t>PEIXOTO</t>
  </si>
  <si>
    <t>Renatia Barroso Da Silva</t>
  </si>
  <si>
    <t>Rua Thiago M Nunes, 1737, Industrial, Peixoto de Azevedo, Mato Grosso</t>
  </si>
  <si>
    <t>Kellyanne Ribeiro Batista Miranda</t>
  </si>
  <si>
    <t>Av. Brasil, 887 - Centro, Peixoto de Azevedo - MT</t>
  </si>
  <si>
    <t>Elisângela</t>
  </si>
  <si>
    <t>Rua Corumba, 390, Santa Izabel, Peixoto de Azevedo, Mato Grosso</t>
  </si>
  <si>
    <t>OFEREÇA SEU PREÇO</t>
  </si>
  <si>
    <t>Ana Carolina Diefenthaler Diefenthaler</t>
  </si>
  <si>
    <t>1612, Rua 9, União, Matupá, Brasil</t>
  </si>
  <si>
    <t>MATUPA</t>
  </si>
  <si>
    <t>Kayna Vitor</t>
  </si>
  <si>
    <t>Rua Paraguai Rua Paraguai Peixoto De Azevedo</t>
  </si>
  <si>
    <t>--</t>
  </si>
  <si>
    <t>Missed Ride</t>
  </si>
  <si>
    <t>Amanda Camargo</t>
  </si>
  <si>
    <t>Atacadão Macre - Rua Teotônio Vilela - Centro Novo, Peixoto de Azevedo - State of Mato Grosso, Brazil</t>
  </si>
  <si>
    <t>Raquel De Sousa Reis</t>
  </si>
  <si>
    <t>Rua Madureira, 235, Liberdade, Peixoto de Azevedo, Mato Grosso</t>
  </si>
  <si>
    <t>Kauani Ferreira Araújo</t>
  </si>
  <si>
    <t>R. Júlio Campos, 112 - Centro Antigo, Peixoto de Azevedo - MT</t>
  </si>
  <si>
    <t>Josiane Vieira</t>
  </si>
  <si>
    <t>IMPÉRIO BEER RESTAUBAR - Avenida Itamar Dias - Liberdade, Peixoto de Azevedo - State of Mato Grosso, Brazil</t>
  </si>
  <si>
    <t>Deusiana Pereira</t>
  </si>
  <si>
    <t>Av. Interpeninsular, 143a - Jardim das Flores, Matupá - MT</t>
  </si>
  <si>
    <t>Av. Interpeninsular, 875, Matupá - MT</t>
  </si>
  <si>
    <t>Av. Interpeninsular, 127, Matupá - MT</t>
  </si>
  <si>
    <t>Av. Interpeninsular, 429, Matupá - MT</t>
  </si>
  <si>
    <t>Larissa Mendes Osga</t>
  </si>
  <si>
    <t>R. Zé do Ford, 40 - Aeroporto, Peixoto de Azevedo - MT</t>
  </si>
  <si>
    <t>Meire Silva</t>
  </si>
  <si>
    <t>Rua 6, Matupá - MT, 78525-000, Brasil</t>
  </si>
  <si>
    <t>Geison Rafael Da Silva</t>
  </si>
  <si>
    <t>R. 21, 60 - União, Matupá - MT</t>
  </si>
  <si>
    <t>Marcos minichik</t>
  </si>
  <si>
    <t>R. Bento Gonçalves, 165 - Bela Vista, Peixoto de Azevedo - MT</t>
  </si>
  <si>
    <t>Sandra Santos</t>
  </si>
  <si>
    <t>Avenida Interpeninsular, 5202, União, Matupá, Mato Grosso</t>
  </si>
  <si>
    <t>4402, Avenida Interpeninsular, Cidade Alta, Matupá, Brasil, Rua 1 jardim das flores</t>
  </si>
  <si>
    <t>Avenida Interpeninsular, 4402, Cidade Alta, Matupá, Mato Grosso</t>
  </si>
  <si>
    <t>Alexandre Gutierres</t>
  </si>
  <si>
    <t>Avenida S Alves Júnior, 164, Matupá, Mato Grosso</t>
  </si>
  <si>
    <t>Douglas Castro</t>
  </si>
  <si>
    <t>Clínica e Laboratório Analise - Avenida Interpeninsular - Jardim das Flores, Matupá - State of Mato Grosso, Brazil</t>
  </si>
  <si>
    <t>Unnamed</t>
  </si>
  <si>
    <t>Anderson Meneguzzi</t>
  </si>
  <si>
    <t>Avenida Vítor F Donine, 2823, União, Matupá, Mato Grosso</t>
  </si>
  <si>
    <t>Rai Arujo</t>
  </si>
  <si>
    <t>211, Rua Macapá, Nova Esperança, Peixoto de Azevedo, Brasil, Casa</t>
  </si>
  <si>
    <t>Kaio Silva</t>
  </si>
  <si>
    <t>User</t>
  </si>
  <si>
    <t>Rua Julio Campos, 112 Rua Julio Campos Peixoto De Azevedo</t>
  </si>
  <si>
    <t>User Id</t>
  </si>
  <si>
    <t>Drop</t>
  </si>
  <si>
    <t>Pickup Time</t>
  </si>
  <si>
    <t>Payment Mode</t>
  </si>
  <si>
    <t>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</si>
</sst>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0.0"/>
      <color rgb="FF000000"/>
      <name val="Arial"/>
      <scheme val="minor"/>
    </font>
    <font>
      <color rgb="FF535875"/>
      <name val="Rubik"/>
    </font>
    <font>
      <color theme="1"/>
      <name val="Arial"/>
      <scheme val="minor"/>
    </font>
    <font>
      <sz val="11.0"/>
      <color rgb="FF000000"/>
      <name val="Rubik"/>
    </font>
    <font>
      <sz val="9.0"/>
      <color theme="1"/>
      <name val="Rubik"/>
    </font>
  </fonts>
  <fills count="4">
    <fill>
      <patternFill patternType="none"/>
    </fill>
    <fill>
      <patternFill patternType="lightGray"/>
    </fill>
    <fill>
      <patternFill patternType="solid">
        <fgColor rgb="FFFAFBFC"/>
        <bgColor rgb="FFFAFBF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2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3" fontId="4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3" max="3" width="29.38"/>
    <col customWidth="1" min="4" max="4" width="65.63"/>
    <col customWidth="1" min="5" max="5" width="27.63"/>
    <col customWidth="1" min="7" max="7" width="22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>
        <v>1.79415327E8</v>
      </c>
      <c r="B2" s="3" t="s">
        <v>9</v>
      </c>
      <c r="C2" s="4">
        <f t="shared" ref="C2:C4" si="1">+5566999595359</f>
        <v>5566999595359</v>
      </c>
      <c r="D2" s="3" t="s">
        <v>10</v>
      </c>
      <c r="E2" s="3" t="s">
        <v>11</v>
      </c>
      <c r="F2" s="5" t="s">
        <v>12</v>
      </c>
      <c r="G2" s="6">
        <v>45766.12267361111</v>
      </c>
      <c r="H2" s="4"/>
      <c r="I2" s="2" t="s">
        <v>13</v>
      </c>
    </row>
    <row r="3">
      <c r="A3" s="7">
        <v>1.79415243E8</v>
      </c>
      <c r="B3" s="7" t="s">
        <v>9</v>
      </c>
      <c r="C3" s="8">
        <f t="shared" si="1"/>
        <v>5566999595359</v>
      </c>
      <c r="D3" s="7" t="s">
        <v>10</v>
      </c>
      <c r="E3" s="7" t="s">
        <v>11</v>
      </c>
      <c r="F3" s="9" t="s">
        <v>12</v>
      </c>
      <c r="G3" s="10">
        <v>45766.121400462966</v>
      </c>
      <c r="H3" s="8"/>
      <c r="I3" s="2" t="s">
        <v>13</v>
      </c>
    </row>
    <row r="4">
      <c r="A4" s="3">
        <v>1.79415136E8</v>
      </c>
      <c r="B4" s="3" t="s">
        <v>9</v>
      </c>
      <c r="C4" s="4">
        <f t="shared" si="1"/>
        <v>5566999595359</v>
      </c>
      <c r="D4" s="3" t="s">
        <v>10</v>
      </c>
      <c r="E4" s="3" t="s">
        <v>11</v>
      </c>
      <c r="F4" s="5" t="s">
        <v>12</v>
      </c>
      <c r="G4" s="6">
        <v>45766.119791666664</v>
      </c>
      <c r="H4" s="4"/>
      <c r="I4" s="2" t="s">
        <v>13</v>
      </c>
    </row>
    <row r="5">
      <c r="A5" s="3">
        <v>1.80005982E8</v>
      </c>
      <c r="B5" s="3" t="s">
        <v>14</v>
      </c>
      <c r="C5" s="4">
        <f>+5566999516439</f>
        <v>5566999516439</v>
      </c>
      <c r="D5" s="3" t="s">
        <v>15</v>
      </c>
      <c r="E5" s="3" t="s">
        <v>11</v>
      </c>
      <c r="F5" s="5" t="s">
        <v>12</v>
      </c>
      <c r="G5" s="6">
        <v>45778.52768518519</v>
      </c>
      <c r="H5" s="4"/>
      <c r="I5" s="2" t="s">
        <v>13</v>
      </c>
    </row>
    <row r="6">
      <c r="A6" s="3">
        <v>1.80702811E8</v>
      </c>
      <c r="B6" s="3" t="s">
        <v>16</v>
      </c>
      <c r="C6" s="4">
        <f>+5566999649994</f>
        <v>5566999649994</v>
      </c>
      <c r="D6" s="3" t="s">
        <v>17</v>
      </c>
      <c r="E6" s="3" t="s">
        <v>11</v>
      </c>
      <c r="F6" s="5" t="s">
        <v>12</v>
      </c>
      <c r="G6" s="6">
        <v>45791.46079861111</v>
      </c>
      <c r="H6" s="4"/>
      <c r="I6" s="2" t="s">
        <v>13</v>
      </c>
    </row>
    <row r="7">
      <c r="A7" s="3">
        <v>1.80810939E8</v>
      </c>
      <c r="B7" s="3" t="s">
        <v>18</v>
      </c>
      <c r="C7" s="4">
        <f>+5566999576629</f>
        <v>5566999576629</v>
      </c>
      <c r="D7" s="3" t="s">
        <v>19</v>
      </c>
      <c r="E7" s="3" t="s">
        <v>20</v>
      </c>
      <c r="F7" s="5" t="s">
        <v>12</v>
      </c>
      <c r="G7" s="6">
        <v>45793.76028935185</v>
      </c>
      <c r="H7" s="4"/>
      <c r="I7" s="2" t="s">
        <v>13</v>
      </c>
    </row>
    <row r="8">
      <c r="A8" s="3">
        <v>1.80843405E8</v>
      </c>
      <c r="B8" s="3" t="s">
        <v>21</v>
      </c>
      <c r="C8" s="4">
        <f>+5566996588792</f>
        <v>5566996588792</v>
      </c>
      <c r="D8" s="3" t="s">
        <v>22</v>
      </c>
      <c r="E8" s="3" t="s">
        <v>11</v>
      </c>
      <c r="F8" s="5" t="s">
        <v>12</v>
      </c>
      <c r="G8" s="6">
        <v>45794.3481712963</v>
      </c>
      <c r="H8" s="4"/>
      <c r="I8" s="2" t="s">
        <v>23</v>
      </c>
    </row>
    <row r="9">
      <c r="A9" s="3">
        <v>1.80890765E8</v>
      </c>
      <c r="B9" s="3" t="s">
        <v>24</v>
      </c>
      <c r="C9" s="4">
        <f t="shared" ref="C9:C18" si="2">+5566999824229</f>
        <v>5566999824229</v>
      </c>
      <c r="D9" s="3" t="s">
        <v>25</v>
      </c>
      <c r="E9" s="3" t="s">
        <v>26</v>
      </c>
      <c r="F9" s="5" t="s">
        <v>27</v>
      </c>
      <c r="G9" s="6">
        <v>45795.20143518518</v>
      </c>
      <c r="H9" s="4"/>
      <c r="I9" s="2" t="s">
        <v>13</v>
      </c>
    </row>
    <row r="10">
      <c r="A10" s="7">
        <v>1.80890667E8</v>
      </c>
      <c r="B10" s="7" t="s">
        <v>24</v>
      </c>
      <c r="C10" s="8">
        <f t="shared" si="2"/>
        <v>5566999824229</v>
      </c>
      <c r="D10" s="7" t="s">
        <v>25</v>
      </c>
      <c r="E10" s="7" t="s">
        <v>26</v>
      </c>
      <c r="F10" s="9" t="s">
        <v>27</v>
      </c>
      <c r="G10" s="10">
        <v>45795.20003472222</v>
      </c>
      <c r="H10" s="8"/>
      <c r="I10" s="2" t="s">
        <v>13</v>
      </c>
    </row>
    <row r="11">
      <c r="A11" s="3">
        <v>1.80890572E8</v>
      </c>
      <c r="B11" s="3" t="s">
        <v>24</v>
      </c>
      <c r="C11" s="4">
        <f t="shared" si="2"/>
        <v>5566999824229</v>
      </c>
      <c r="D11" s="3" t="s">
        <v>25</v>
      </c>
      <c r="E11" s="3" t="s">
        <v>26</v>
      </c>
      <c r="F11" s="5" t="s">
        <v>27</v>
      </c>
      <c r="G11" s="6">
        <v>45795.198645833334</v>
      </c>
      <c r="H11" s="4"/>
      <c r="I11" s="2" t="s">
        <v>13</v>
      </c>
    </row>
    <row r="12">
      <c r="A12" s="7">
        <v>1.80890483E8</v>
      </c>
      <c r="B12" s="7" t="s">
        <v>24</v>
      </c>
      <c r="C12" s="8">
        <f t="shared" si="2"/>
        <v>5566999824229</v>
      </c>
      <c r="D12" s="7" t="s">
        <v>25</v>
      </c>
      <c r="E12" s="7" t="s">
        <v>26</v>
      </c>
      <c r="F12" s="9" t="s">
        <v>27</v>
      </c>
      <c r="G12" s="10">
        <v>45795.19725694445</v>
      </c>
      <c r="H12" s="8"/>
      <c r="I12" s="2" t="s">
        <v>13</v>
      </c>
    </row>
    <row r="13">
      <c r="A13" s="3">
        <v>1.80890394E8</v>
      </c>
      <c r="B13" s="3" t="s">
        <v>24</v>
      </c>
      <c r="C13" s="4">
        <f t="shared" si="2"/>
        <v>5566999824229</v>
      </c>
      <c r="D13" s="3" t="s">
        <v>25</v>
      </c>
      <c r="E13" s="3" t="s">
        <v>26</v>
      </c>
      <c r="F13" s="5" t="s">
        <v>27</v>
      </c>
      <c r="G13" s="6">
        <v>45795.195868055554</v>
      </c>
      <c r="H13" s="4"/>
      <c r="I13" s="2" t="s">
        <v>13</v>
      </c>
    </row>
    <row r="14">
      <c r="A14" s="7">
        <v>1.8088411E8</v>
      </c>
      <c r="B14" s="7" t="s">
        <v>24</v>
      </c>
      <c r="C14" s="8">
        <f t="shared" si="2"/>
        <v>5566999824229</v>
      </c>
      <c r="D14" s="7" t="s">
        <v>25</v>
      </c>
      <c r="E14" s="7" t="s">
        <v>26</v>
      </c>
      <c r="F14" s="9" t="s">
        <v>27</v>
      </c>
      <c r="G14" s="10">
        <v>45795.09726851852</v>
      </c>
      <c r="H14" s="8"/>
      <c r="I14" s="2" t="s">
        <v>13</v>
      </c>
    </row>
    <row r="15">
      <c r="A15" s="3">
        <v>1.80884024E8</v>
      </c>
      <c r="B15" s="3" t="s">
        <v>24</v>
      </c>
      <c r="C15" s="4">
        <f t="shared" si="2"/>
        <v>5566999824229</v>
      </c>
      <c r="D15" s="3" t="s">
        <v>25</v>
      </c>
      <c r="E15" s="3" t="s">
        <v>26</v>
      </c>
      <c r="F15" s="5" t="s">
        <v>27</v>
      </c>
      <c r="G15" s="6">
        <v>45795.095868055556</v>
      </c>
      <c r="H15" s="4"/>
      <c r="I15" s="2" t="s">
        <v>13</v>
      </c>
    </row>
    <row r="16">
      <c r="A16" s="7">
        <v>1.80883923E8</v>
      </c>
      <c r="B16" s="7" t="s">
        <v>24</v>
      </c>
      <c r="C16" s="8">
        <f t="shared" si="2"/>
        <v>5566999824229</v>
      </c>
      <c r="D16" s="7" t="s">
        <v>25</v>
      </c>
      <c r="E16" s="7" t="s">
        <v>20</v>
      </c>
      <c r="F16" s="9" t="s">
        <v>12</v>
      </c>
      <c r="G16" s="10">
        <v>45795.09447916667</v>
      </c>
      <c r="H16" s="8"/>
      <c r="I16" s="2" t="s">
        <v>13</v>
      </c>
    </row>
    <row r="17">
      <c r="A17" s="3">
        <v>1.80883829E8</v>
      </c>
      <c r="B17" s="3" t="s">
        <v>24</v>
      </c>
      <c r="C17" s="4">
        <f t="shared" si="2"/>
        <v>5566999824229</v>
      </c>
      <c r="D17" s="3" t="s">
        <v>25</v>
      </c>
      <c r="E17" s="3" t="s">
        <v>20</v>
      </c>
      <c r="F17" s="5" t="s">
        <v>12</v>
      </c>
      <c r="G17" s="6">
        <v>45795.093090277776</v>
      </c>
      <c r="H17" s="4"/>
      <c r="I17" s="2" t="s">
        <v>13</v>
      </c>
    </row>
    <row r="18">
      <c r="A18" s="7">
        <v>1.80883728E8</v>
      </c>
      <c r="B18" s="7" t="s">
        <v>24</v>
      </c>
      <c r="C18" s="8">
        <f t="shared" si="2"/>
        <v>5566999824229</v>
      </c>
      <c r="D18" s="7" t="s">
        <v>25</v>
      </c>
      <c r="E18" s="7" t="s">
        <v>20</v>
      </c>
      <c r="F18" s="9" t="s">
        <v>12</v>
      </c>
      <c r="G18" s="10">
        <v>45795.09170138889</v>
      </c>
      <c r="H18" s="8"/>
      <c r="I18" s="2" t="s">
        <v>13</v>
      </c>
    </row>
    <row r="19">
      <c r="A19" s="3">
        <v>1.81066435E8</v>
      </c>
      <c r="B19" s="3" t="s">
        <v>28</v>
      </c>
      <c r="C19" s="4">
        <f>+5566996983460</f>
        <v>5566996983460</v>
      </c>
      <c r="D19" s="3" t="s">
        <v>29</v>
      </c>
      <c r="E19" s="3" t="s">
        <v>11</v>
      </c>
      <c r="F19" s="5" t="s">
        <v>12</v>
      </c>
      <c r="G19" s="6">
        <v>45798.61111111111</v>
      </c>
      <c r="H19" s="4"/>
      <c r="I19" s="2" t="s">
        <v>13</v>
      </c>
    </row>
    <row r="20">
      <c r="A20" s="3">
        <v>1.8152526E8</v>
      </c>
      <c r="B20" s="3" t="s">
        <v>30</v>
      </c>
      <c r="C20" s="4">
        <f t="shared" ref="C20:C22" si="3">+5566992491185</f>
        <v>5566992491185</v>
      </c>
      <c r="D20" s="3" t="s">
        <v>31</v>
      </c>
      <c r="E20" s="3" t="s">
        <v>20</v>
      </c>
      <c r="F20" s="5" t="s">
        <v>12</v>
      </c>
      <c r="G20" s="6">
        <v>45807.29451388889</v>
      </c>
      <c r="H20" s="4"/>
      <c r="I20" s="2" t="s">
        <v>13</v>
      </c>
    </row>
    <row r="21">
      <c r="A21" s="7">
        <v>1.81525162E8</v>
      </c>
      <c r="B21" s="7" t="s">
        <v>30</v>
      </c>
      <c r="C21" s="8">
        <f t="shared" si="3"/>
        <v>5566992491185</v>
      </c>
      <c r="D21" s="7" t="s">
        <v>31</v>
      </c>
      <c r="E21" s="7" t="s">
        <v>20</v>
      </c>
      <c r="F21" s="9" t="s">
        <v>12</v>
      </c>
      <c r="G21" s="10">
        <v>45807.29314814815</v>
      </c>
      <c r="H21" s="8"/>
      <c r="I21" s="2" t="s">
        <v>13</v>
      </c>
    </row>
    <row r="22">
      <c r="A22" s="3">
        <v>1.81525057E8</v>
      </c>
      <c r="B22" s="3" t="s">
        <v>30</v>
      </c>
      <c r="C22" s="4">
        <f t="shared" si="3"/>
        <v>5566992491185</v>
      </c>
      <c r="D22" s="3" t="s">
        <v>31</v>
      </c>
      <c r="E22" s="3" t="s">
        <v>20</v>
      </c>
      <c r="F22" s="5" t="s">
        <v>12</v>
      </c>
      <c r="G22" s="6">
        <v>45807.29180555556</v>
      </c>
      <c r="H22" s="4"/>
      <c r="I22" s="2" t="s">
        <v>13</v>
      </c>
    </row>
    <row r="23">
      <c r="A23" s="3">
        <v>1.81778467E8</v>
      </c>
      <c r="B23" s="3" t="s">
        <v>32</v>
      </c>
      <c r="C23" s="4">
        <f>+5566999023131</f>
        <v>5566999023131</v>
      </c>
      <c r="D23" s="3" t="s">
        <v>33</v>
      </c>
      <c r="E23" s="3" t="s">
        <v>11</v>
      </c>
      <c r="F23" s="5" t="s">
        <v>12</v>
      </c>
      <c r="G23" s="6">
        <v>45811.35466435185</v>
      </c>
      <c r="H23" s="4"/>
      <c r="I23" s="2" t="s">
        <v>13</v>
      </c>
    </row>
    <row r="24">
      <c r="A24" s="3">
        <v>1.82019202E8</v>
      </c>
      <c r="B24" s="3" t="s">
        <v>34</v>
      </c>
      <c r="C24" s="4">
        <f>+5566997177786</f>
        <v>5566997177786</v>
      </c>
      <c r="D24" s="3" t="s">
        <v>35</v>
      </c>
      <c r="E24" s="3" t="s">
        <v>11</v>
      </c>
      <c r="F24" s="5" t="s">
        <v>12</v>
      </c>
      <c r="G24" s="6">
        <v>45815.84116898148</v>
      </c>
      <c r="H24" s="4"/>
      <c r="I24" s="2" t="s">
        <v>13</v>
      </c>
    </row>
    <row r="25">
      <c r="A25" s="3">
        <v>1.82388715E8</v>
      </c>
      <c r="B25" s="3" t="s">
        <v>36</v>
      </c>
      <c r="C25" s="4">
        <f t="shared" ref="C25:C32" si="4">+5593992024339</f>
        <v>5593992024339</v>
      </c>
      <c r="D25" s="3" t="s">
        <v>37</v>
      </c>
      <c r="E25" s="3" t="s">
        <v>11</v>
      </c>
      <c r="F25" s="5" t="s">
        <v>12</v>
      </c>
      <c r="G25" s="6">
        <v>45822.40688657408</v>
      </c>
      <c r="H25" s="4"/>
      <c r="I25" s="2" t="s">
        <v>23</v>
      </c>
    </row>
    <row r="26">
      <c r="A26" s="7">
        <v>1.82388543E8</v>
      </c>
      <c r="B26" s="7" t="s">
        <v>36</v>
      </c>
      <c r="C26" s="8">
        <f t="shared" si="4"/>
        <v>5593992024339</v>
      </c>
      <c r="D26" s="7" t="s">
        <v>37</v>
      </c>
      <c r="E26" s="7" t="s">
        <v>11</v>
      </c>
      <c r="F26" s="9" t="s">
        <v>12</v>
      </c>
      <c r="G26" s="10">
        <v>45822.40513888889</v>
      </c>
      <c r="H26" s="8"/>
      <c r="I26" s="2" t="s">
        <v>23</v>
      </c>
    </row>
    <row r="27">
      <c r="A27" s="3">
        <v>1.82388333E8</v>
      </c>
      <c r="B27" s="3" t="s">
        <v>36</v>
      </c>
      <c r="C27" s="4">
        <f t="shared" si="4"/>
        <v>5593992024339</v>
      </c>
      <c r="D27" s="3" t="s">
        <v>37</v>
      </c>
      <c r="E27" s="3" t="s">
        <v>11</v>
      </c>
      <c r="F27" s="5" t="s">
        <v>12</v>
      </c>
      <c r="G27" s="6">
        <v>45822.40314814815</v>
      </c>
      <c r="H27" s="4"/>
      <c r="I27" s="2" t="s">
        <v>23</v>
      </c>
    </row>
    <row r="28">
      <c r="A28" s="7">
        <v>1.82388191E8</v>
      </c>
      <c r="B28" s="7" t="s">
        <v>36</v>
      </c>
      <c r="C28" s="8">
        <f t="shared" si="4"/>
        <v>5593992024339</v>
      </c>
      <c r="D28" s="7" t="s">
        <v>38</v>
      </c>
      <c r="E28" s="7" t="s">
        <v>11</v>
      </c>
      <c r="F28" s="9" t="s">
        <v>12</v>
      </c>
      <c r="G28" s="10">
        <v>45822.40149305556</v>
      </c>
      <c r="H28" s="8"/>
      <c r="I28" s="2" t="s">
        <v>23</v>
      </c>
    </row>
    <row r="29">
      <c r="A29" s="3">
        <v>1.82387888E8</v>
      </c>
      <c r="B29" s="3" t="s">
        <v>36</v>
      </c>
      <c r="C29" s="4">
        <f t="shared" si="4"/>
        <v>5593992024339</v>
      </c>
      <c r="D29" s="3" t="s">
        <v>39</v>
      </c>
      <c r="E29" s="3" t="s">
        <v>11</v>
      </c>
      <c r="F29" s="5" t="s">
        <v>12</v>
      </c>
      <c r="G29" s="6">
        <v>45822.39875</v>
      </c>
      <c r="H29" s="4"/>
      <c r="I29" s="2" t="s">
        <v>23</v>
      </c>
    </row>
    <row r="30">
      <c r="A30" s="7">
        <v>1.82387654E8</v>
      </c>
      <c r="B30" s="7" t="s">
        <v>36</v>
      </c>
      <c r="C30" s="8">
        <f t="shared" si="4"/>
        <v>5593992024339</v>
      </c>
      <c r="D30" s="7" t="s">
        <v>40</v>
      </c>
      <c r="E30" s="7" t="s">
        <v>11</v>
      </c>
      <c r="F30" s="9" t="s">
        <v>12</v>
      </c>
      <c r="G30" s="10">
        <v>45822.39674768518</v>
      </c>
      <c r="H30" s="8"/>
      <c r="I30" s="2" t="s">
        <v>23</v>
      </c>
    </row>
    <row r="31">
      <c r="A31" s="3">
        <v>1.82387488E8</v>
      </c>
      <c r="B31" s="3" t="s">
        <v>36</v>
      </c>
      <c r="C31" s="4">
        <f t="shared" si="4"/>
        <v>5593992024339</v>
      </c>
      <c r="D31" s="3" t="s">
        <v>40</v>
      </c>
      <c r="E31" s="3" t="s">
        <v>11</v>
      </c>
      <c r="F31" s="5" t="s">
        <v>12</v>
      </c>
      <c r="G31" s="6">
        <v>45822.3950462963</v>
      </c>
      <c r="H31" s="4"/>
      <c r="I31" s="2" t="s">
        <v>23</v>
      </c>
    </row>
    <row r="32">
      <c r="A32" s="7">
        <v>1.82387366E8</v>
      </c>
      <c r="B32" s="7" t="s">
        <v>36</v>
      </c>
      <c r="C32" s="8">
        <f t="shared" si="4"/>
        <v>5593992024339</v>
      </c>
      <c r="D32" s="7" t="s">
        <v>40</v>
      </c>
      <c r="E32" s="7" t="s">
        <v>11</v>
      </c>
      <c r="F32" s="9" t="s">
        <v>12</v>
      </c>
      <c r="G32" s="10">
        <v>45822.39378472222</v>
      </c>
      <c r="H32" s="8"/>
      <c r="I32" s="2" t="s">
        <v>23</v>
      </c>
    </row>
    <row r="33">
      <c r="A33" s="3">
        <v>1.8252467E8</v>
      </c>
      <c r="B33" s="3" t="s">
        <v>41</v>
      </c>
      <c r="C33" s="4">
        <f t="shared" ref="C33:C34" si="5">+5573998669450</f>
        <v>5573998669450</v>
      </c>
      <c r="D33" s="3" t="s">
        <v>42</v>
      </c>
      <c r="E33" s="3" t="s">
        <v>11</v>
      </c>
      <c r="F33" s="5" t="s">
        <v>12</v>
      </c>
      <c r="G33" s="6">
        <v>45824.550092592595</v>
      </c>
      <c r="H33" s="4"/>
      <c r="I33" s="2" t="s">
        <v>13</v>
      </c>
    </row>
    <row r="34">
      <c r="A34" s="7">
        <v>1.82524569E8</v>
      </c>
      <c r="B34" s="7" t="s">
        <v>41</v>
      </c>
      <c r="C34" s="8">
        <f t="shared" si="5"/>
        <v>5573998669450</v>
      </c>
      <c r="D34" s="7" t="s">
        <v>42</v>
      </c>
      <c r="E34" s="7" t="s">
        <v>11</v>
      </c>
      <c r="F34" s="9" t="s">
        <v>12</v>
      </c>
      <c r="G34" s="10">
        <v>45824.54672453704</v>
      </c>
      <c r="H34" s="8"/>
      <c r="I34" s="2" t="s">
        <v>13</v>
      </c>
    </row>
    <row r="35">
      <c r="A35" s="3">
        <v>1.82511829E8</v>
      </c>
      <c r="B35" s="3" t="s">
        <v>43</v>
      </c>
      <c r="C35" s="4">
        <f>+5566999233994</f>
        <v>5566999233994</v>
      </c>
      <c r="D35" s="3" t="s">
        <v>44</v>
      </c>
      <c r="E35" s="3" t="s">
        <v>11</v>
      </c>
      <c r="F35" s="5" t="s">
        <v>12</v>
      </c>
      <c r="G35" s="6">
        <v>45824.36828703704</v>
      </c>
      <c r="H35" s="4"/>
      <c r="I35" s="2" t="s">
        <v>23</v>
      </c>
    </row>
    <row r="36">
      <c r="A36" s="3">
        <v>1.82631826E8</v>
      </c>
      <c r="B36" s="3" t="s">
        <v>45</v>
      </c>
      <c r="C36" s="4">
        <f t="shared" ref="C36:C37" si="6">+5566999146788</f>
        <v>5566999146788</v>
      </c>
      <c r="D36" s="3" t="s">
        <v>46</v>
      </c>
      <c r="E36" s="3" t="s">
        <v>26</v>
      </c>
      <c r="F36" s="5" t="s">
        <v>27</v>
      </c>
      <c r="G36" s="6">
        <v>45826.65871527778</v>
      </c>
      <c r="H36" s="4"/>
      <c r="I36" s="2" t="s">
        <v>23</v>
      </c>
    </row>
    <row r="37">
      <c r="A37" s="7">
        <v>1.82631815E8</v>
      </c>
      <c r="B37" s="7" t="s">
        <v>45</v>
      </c>
      <c r="C37" s="8">
        <f t="shared" si="6"/>
        <v>5566999146788</v>
      </c>
      <c r="D37" s="7" t="s">
        <v>46</v>
      </c>
      <c r="E37" s="7" t="s">
        <v>26</v>
      </c>
      <c r="F37" s="9" t="s">
        <v>27</v>
      </c>
      <c r="G37" s="10">
        <v>45826.65831018519</v>
      </c>
      <c r="H37" s="8"/>
      <c r="I37" s="2" t="s">
        <v>23</v>
      </c>
    </row>
    <row r="38">
      <c r="A38" s="3">
        <v>1.82858264E8</v>
      </c>
      <c r="B38" s="3" t="s">
        <v>47</v>
      </c>
      <c r="C38" s="4">
        <f>+5566996350296</f>
        <v>5566996350296</v>
      </c>
      <c r="D38" s="3" t="s">
        <v>48</v>
      </c>
      <c r="E38" s="3" t="s">
        <v>26</v>
      </c>
      <c r="F38" s="5" t="s">
        <v>27</v>
      </c>
      <c r="G38" s="6">
        <v>45830.89084490741</v>
      </c>
      <c r="H38" s="4"/>
      <c r="I38" s="2" t="s">
        <v>13</v>
      </c>
    </row>
    <row r="39">
      <c r="A39" s="3">
        <v>1.83085393E8</v>
      </c>
      <c r="B39" s="3" t="s">
        <v>49</v>
      </c>
      <c r="C39" s="4">
        <f t="shared" ref="C39:C46" si="7">+5566984675696</f>
        <v>5566984675696</v>
      </c>
      <c r="D39" s="3" t="s">
        <v>50</v>
      </c>
      <c r="E39" s="3" t="s">
        <v>11</v>
      </c>
      <c r="F39" s="5" t="s">
        <v>12</v>
      </c>
      <c r="G39" s="6">
        <v>45835.05829861111</v>
      </c>
      <c r="H39" s="4"/>
      <c r="I39" s="2" t="s">
        <v>23</v>
      </c>
    </row>
    <row r="40">
      <c r="A40" s="7">
        <v>1.83085191E8</v>
      </c>
      <c r="B40" s="7" t="s">
        <v>49</v>
      </c>
      <c r="C40" s="8">
        <f t="shared" si="7"/>
        <v>5566984675696</v>
      </c>
      <c r="D40" s="7" t="s">
        <v>51</v>
      </c>
      <c r="E40" s="7" t="s">
        <v>11</v>
      </c>
      <c r="F40" s="9" t="s">
        <v>12</v>
      </c>
      <c r="G40" s="10">
        <v>45835.055659722224</v>
      </c>
      <c r="H40" s="8"/>
      <c r="I40" s="2" t="s">
        <v>23</v>
      </c>
    </row>
    <row r="41">
      <c r="A41" s="3">
        <v>1.83085108E8</v>
      </c>
      <c r="B41" s="3" t="s">
        <v>49</v>
      </c>
      <c r="C41" s="4">
        <f t="shared" si="7"/>
        <v>5566984675696</v>
      </c>
      <c r="D41" s="3" t="s">
        <v>51</v>
      </c>
      <c r="E41" s="3" t="s">
        <v>11</v>
      </c>
      <c r="F41" s="5" t="s">
        <v>12</v>
      </c>
      <c r="G41" s="6">
        <v>45835.05458333333</v>
      </c>
      <c r="H41" s="4"/>
      <c r="I41" s="2" t="s">
        <v>23</v>
      </c>
    </row>
    <row r="42">
      <c r="A42" s="7">
        <v>1.8308481E8</v>
      </c>
      <c r="B42" s="7" t="s">
        <v>49</v>
      </c>
      <c r="C42" s="8">
        <f t="shared" si="7"/>
        <v>5566984675696</v>
      </c>
      <c r="D42" s="7" t="s">
        <v>51</v>
      </c>
      <c r="E42" s="7" t="s">
        <v>11</v>
      </c>
      <c r="F42" s="9" t="s">
        <v>12</v>
      </c>
      <c r="G42" s="10">
        <v>45835.05006944444</v>
      </c>
      <c r="H42" s="8"/>
      <c r="I42" s="2" t="s">
        <v>23</v>
      </c>
    </row>
    <row r="43">
      <c r="A43" s="3">
        <v>1.83084703E8</v>
      </c>
      <c r="B43" s="3" t="s">
        <v>49</v>
      </c>
      <c r="C43" s="4">
        <f t="shared" si="7"/>
        <v>5566984675696</v>
      </c>
      <c r="D43" s="3" t="s">
        <v>51</v>
      </c>
      <c r="E43" s="3" t="s">
        <v>11</v>
      </c>
      <c r="F43" s="5" t="s">
        <v>12</v>
      </c>
      <c r="G43" s="6">
        <v>45835.04866898148</v>
      </c>
      <c r="H43" s="4"/>
      <c r="I43" s="2" t="s">
        <v>23</v>
      </c>
    </row>
    <row r="44">
      <c r="A44" s="7">
        <v>1.83084586E8</v>
      </c>
      <c r="B44" s="7" t="s">
        <v>49</v>
      </c>
      <c r="C44" s="8">
        <f t="shared" si="7"/>
        <v>5566984675696</v>
      </c>
      <c r="D44" s="7" t="s">
        <v>51</v>
      </c>
      <c r="E44" s="7" t="s">
        <v>11</v>
      </c>
      <c r="F44" s="9" t="s">
        <v>12</v>
      </c>
      <c r="G44" s="10">
        <v>45835.04697916667</v>
      </c>
      <c r="H44" s="8"/>
      <c r="I44" s="2" t="s">
        <v>23</v>
      </c>
    </row>
    <row r="45">
      <c r="A45" s="3">
        <v>1.83084474E8</v>
      </c>
      <c r="B45" s="3" t="s">
        <v>49</v>
      </c>
      <c r="C45" s="4">
        <f t="shared" si="7"/>
        <v>5566984675696</v>
      </c>
      <c r="D45" s="3" t="s">
        <v>52</v>
      </c>
      <c r="E45" s="3" t="s">
        <v>11</v>
      </c>
      <c r="F45" s="5" t="s">
        <v>12</v>
      </c>
      <c r="G45" s="6">
        <v>45835.04547453704</v>
      </c>
      <c r="H45" s="4"/>
      <c r="I45" s="2" t="s">
        <v>23</v>
      </c>
    </row>
    <row r="46">
      <c r="A46" s="7">
        <v>1.83084362E8</v>
      </c>
      <c r="B46" s="7" t="s">
        <v>49</v>
      </c>
      <c r="C46" s="8">
        <f t="shared" si="7"/>
        <v>5566984675696</v>
      </c>
      <c r="D46" s="7" t="s">
        <v>52</v>
      </c>
      <c r="E46" s="7" t="s">
        <v>11</v>
      </c>
      <c r="F46" s="9" t="s">
        <v>12</v>
      </c>
      <c r="G46" s="10">
        <v>45835.044120370374</v>
      </c>
      <c r="H46" s="8"/>
      <c r="I46" s="2" t="s">
        <v>23</v>
      </c>
    </row>
    <row r="47">
      <c r="A47" s="3">
        <v>1.83434974E8</v>
      </c>
      <c r="B47" s="3" t="s">
        <v>53</v>
      </c>
      <c r="C47" s="4">
        <f t="shared" ref="C47:C48" si="8">+5565999363698</f>
        <v>5565999363698</v>
      </c>
      <c r="D47" s="3" t="s">
        <v>54</v>
      </c>
      <c r="E47" s="3" t="s">
        <v>11</v>
      </c>
      <c r="F47" s="5" t="s">
        <v>12</v>
      </c>
      <c r="G47" s="6">
        <v>45840.28472222222</v>
      </c>
      <c r="H47" s="4"/>
      <c r="I47" s="2" t="s">
        <v>23</v>
      </c>
    </row>
    <row r="48">
      <c r="A48" s="7">
        <v>1.83434732E8</v>
      </c>
      <c r="B48" s="7" t="s">
        <v>53</v>
      </c>
      <c r="C48" s="8">
        <f t="shared" si="8"/>
        <v>5565999363698</v>
      </c>
      <c r="D48" s="7" t="s">
        <v>54</v>
      </c>
      <c r="E48" s="7" t="s">
        <v>11</v>
      </c>
      <c r="F48" s="9" t="s">
        <v>12</v>
      </c>
      <c r="G48" s="10">
        <v>45840.28155092592</v>
      </c>
      <c r="H48" s="8"/>
      <c r="I48" s="2" t="s">
        <v>23</v>
      </c>
    </row>
    <row r="49">
      <c r="A49" s="3">
        <v>1.83658249E8</v>
      </c>
      <c r="B49" s="3" t="s">
        <v>55</v>
      </c>
      <c r="C49" s="4">
        <f>+5591984622231</f>
        <v>5591984622231</v>
      </c>
      <c r="D49" s="3" t="s">
        <v>56</v>
      </c>
      <c r="E49" s="3" t="s">
        <v>11</v>
      </c>
      <c r="F49" s="5" t="s">
        <v>12</v>
      </c>
      <c r="G49" s="6">
        <v>45843.53061342592</v>
      </c>
      <c r="H49" s="4"/>
      <c r="I49" s="2" t="s">
        <v>23</v>
      </c>
    </row>
    <row r="50">
      <c r="A50" s="3">
        <v>1.84030739E8</v>
      </c>
      <c r="B50" s="3" t="s">
        <v>36</v>
      </c>
      <c r="C50" s="4">
        <f t="shared" ref="C50:C52" si="9">+5593992024339</f>
        <v>5593992024339</v>
      </c>
      <c r="D50" s="3" t="s">
        <v>57</v>
      </c>
      <c r="E50" s="3" t="s">
        <v>11</v>
      </c>
      <c r="F50" s="5" t="s">
        <v>12</v>
      </c>
      <c r="G50" s="6">
        <v>45849.71177083333</v>
      </c>
      <c r="H50" s="4"/>
      <c r="I50" s="2" t="s">
        <v>57</v>
      </c>
    </row>
    <row r="51">
      <c r="A51" s="7">
        <v>1.84030681E8</v>
      </c>
      <c r="B51" s="7" t="s">
        <v>36</v>
      </c>
      <c r="C51" s="8">
        <f t="shared" si="9"/>
        <v>5593992024339</v>
      </c>
      <c r="D51" s="7" t="s">
        <v>57</v>
      </c>
      <c r="E51" s="7" t="s">
        <v>11</v>
      </c>
      <c r="F51" s="9" t="s">
        <v>12</v>
      </c>
      <c r="G51" s="10">
        <v>45849.70995370371</v>
      </c>
      <c r="H51" s="8"/>
      <c r="I51" s="2" t="s">
        <v>57</v>
      </c>
    </row>
    <row r="52">
      <c r="A52" s="3">
        <v>1.84216141E8</v>
      </c>
      <c r="B52" s="3" t="s">
        <v>36</v>
      </c>
      <c r="C52" s="4">
        <f t="shared" si="9"/>
        <v>5593992024339</v>
      </c>
      <c r="D52" s="3" t="s">
        <v>57</v>
      </c>
      <c r="E52" s="3" t="s">
        <v>11</v>
      </c>
      <c r="F52" s="5" t="s">
        <v>12</v>
      </c>
      <c r="G52" s="6">
        <v>45852.56386574074</v>
      </c>
      <c r="H52" s="4"/>
      <c r="I52" s="2" t="s">
        <v>57</v>
      </c>
    </row>
    <row r="53">
      <c r="A53" s="3">
        <v>1.84411033E8</v>
      </c>
      <c r="B53" s="3" t="s">
        <v>58</v>
      </c>
      <c r="C53" s="4">
        <f t="shared" ref="C53:C54" si="10">+5566997222813</f>
        <v>5566997222813</v>
      </c>
      <c r="D53" s="3" t="s">
        <v>59</v>
      </c>
      <c r="E53" s="3" t="s">
        <v>11</v>
      </c>
      <c r="F53" s="5" t="s">
        <v>12</v>
      </c>
      <c r="G53" s="6">
        <v>45856.63048611111</v>
      </c>
      <c r="H53" s="4"/>
      <c r="I53" s="2" t="s">
        <v>23</v>
      </c>
    </row>
    <row r="54">
      <c r="A54" s="7">
        <v>1.8441099E8</v>
      </c>
      <c r="B54" s="7" t="s">
        <v>58</v>
      </c>
      <c r="C54" s="8">
        <f t="shared" si="10"/>
        <v>5566997222813</v>
      </c>
      <c r="D54" s="7" t="s">
        <v>59</v>
      </c>
      <c r="E54" s="7" t="s">
        <v>11</v>
      </c>
      <c r="F54" s="9" t="s">
        <v>12</v>
      </c>
      <c r="G54" s="10">
        <v>45856.62883101852</v>
      </c>
      <c r="H54" s="8"/>
      <c r="I54" s="2" t="s">
        <v>23</v>
      </c>
    </row>
    <row r="55">
      <c r="A55" s="3">
        <v>1.84631168E8</v>
      </c>
      <c r="B55" s="3" t="s">
        <v>60</v>
      </c>
      <c r="C55" s="4">
        <f t="shared" ref="C55:C60" si="11">+5593992399795</f>
        <v>5593992399795</v>
      </c>
      <c r="D55" s="3" t="s">
        <v>61</v>
      </c>
      <c r="E55" s="3" t="s">
        <v>26</v>
      </c>
      <c r="F55" s="5" t="s">
        <v>27</v>
      </c>
      <c r="G55" s="6">
        <v>45860.837534722225</v>
      </c>
      <c r="H55" s="4"/>
      <c r="I55" s="2" t="s">
        <v>13</v>
      </c>
    </row>
    <row r="56">
      <c r="A56" s="7">
        <v>1.84631136E8</v>
      </c>
      <c r="B56" s="7" t="s">
        <v>60</v>
      </c>
      <c r="C56" s="8">
        <f t="shared" si="11"/>
        <v>5593992399795</v>
      </c>
      <c r="D56" s="7" t="s">
        <v>61</v>
      </c>
      <c r="E56" s="7" t="s">
        <v>26</v>
      </c>
      <c r="F56" s="9" t="s">
        <v>27</v>
      </c>
      <c r="G56" s="10">
        <v>45860.83615740741</v>
      </c>
      <c r="H56" s="8"/>
      <c r="I56" s="2" t="s">
        <v>13</v>
      </c>
    </row>
    <row r="57">
      <c r="A57" s="3">
        <v>1.84631094E8</v>
      </c>
      <c r="B57" s="3" t="s">
        <v>60</v>
      </c>
      <c r="C57" s="4">
        <f t="shared" si="11"/>
        <v>5593992399795</v>
      </c>
      <c r="D57" s="3" t="s">
        <v>61</v>
      </c>
      <c r="E57" s="3" t="s">
        <v>26</v>
      </c>
      <c r="F57" s="5" t="s">
        <v>27</v>
      </c>
      <c r="G57" s="6">
        <v>45860.83476851852</v>
      </c>
      <c r="H57" s="4"/>
      <c r="I57" s="2" t="s">
        <v>13</v>
      </c>
    </row>
    <row r="58">
      <c r="A58" s="7">
        <v>1.84630808E8</v>
      </c>
      <c r="B58" s="7" t="s">
        <v>60</v>
      </c>
      <c r="C58" s="8">
        <f t="shared" si="11"/>
        <v>5593992399795</v>
      </c>
      <c r="D58" s="7" t="s">
        <v>61</v>
      </c>
      <c r="E58" s="7" t="s">
        <v>11</v>
      </c>
      <c r="F58" s="9" t="s">
        <v>12</v>
      </c>
      <c r="G58" s="10">
        <v>45860.821076388886</v>
      </c>
      <c r="H58" s="8"/>
      <c r="I58" s="2" t="s">
        <v>13</v>
      </c>
    </row>
    <row r="59">
      <c r="A59" s="3">
        <v>1.84630783E8</v>
      </c>
      <c r="B59" s="3" t="s">
        <v>60</v>
      </c>
      <c r="C59" s="4">
        <f t="shared" si="11"/>
        <v>5593992399795</v>
      </c>
      <c r="D59" s="3" t="s">
        <v>61</v>
      </c>
      <c r="E59" s="3" t="s">
        <v>11</v>
      </c>
      <c r="F59" s="5" t="s">
        <v>12</v>
      </c>
      <c r="G59" s="6">
        <v>45860.8196875</v>
      </c>
      <c r="H59" s="4"/>
      <c r="I59" s="2" t="s">
        <v>13</v>
      </c>
    </row>
    <row r="60">
      <c r="A60" s="7">
        <v>1.84630746E8</v>
      </c>
      <c r="B60" s="7" t="s">
        <v>60</v>
      </c>
      <c r="C60" s="8">
        <f t="shared" si="11"/>
        <v>5593992399795</v>
      </c>
      <c r="D60" s="7" t="s">
        <v>61</v>
      </c>
      <c r="E60" s="7" t="s">
        <v>11</v>
      </c>
      <c r="F60" s="9" t="s">
        <v>12</v>
      </c>
      <c r="G60" s="10">
        <v>45860.818032407406</v>
      </c>
      <c r="H60" s="8"/>
      <c r="I60" s="2" t="s">
        <v>13</v>
      </c>
    </row>
    <row r="61">
      <c r="A61" s="3">
        <v>1.85192018E8</v>
      </c>
      <c r="B61" s="3" t="s">
        <v>62</v>
      </c>
      <c r="C61" s="4">
        <f>+5567999841770</f>
        <v>5567999841770</v>
      </c>
      <c r="D61" s="3" t="s">
        <v>57</v>
      </c>
      <c r="E61" s="3" t="s">
        <v>11</v>
      </c>
      <c r="F61" s="5" t="s">
        <v>12</v>
      </c>
      <c r="G61" s="6">
        <v>45870.79447916667</v>
      </c>
      <c r="I61" s="2" t="s">
        <v>23</v>
      </c>
    </row>
    <row r="62">
      <c r="A62" s="3">
        <v>1.85271638E8</v>
      </c>
      <c r="B62" s="3" t="s">
        <v>63</v>
      </c>
      <c r="C62" s="4">
        <f t="shared" ref="C62:C63" si="12">+5566999069527</f>
        <v>5566999069527</v>
      </c>
      <c r="D62" s="3" t="s">
        <v>57</v>
      </c>
      <c r="E62" s="3" t="s">
        <v>11</v>
      </c>
      <c r="F62" s="5" t="s">
        <v>12</v>
      </c>
      <c r="G62" s="6">
        <v>45872.03523148148</v>
      </c>
      <c r="H62" s="4"/>
      <c r="I62" s="2" t="s">
        <v>23</v>
      </c>
    </row>
    <row r="63">
      <c r="A63" s="7">
        <v>1.85271519E8</v>
      </c>
      <c r="B63" s="7" t="s">
        <v>63</v>
      </c>
      <c r="C63" s="8">
        <f t="shared" si="12"/>
        <v>5566999069527</v>
      </c>
      <c r="D63" s="7" t="s">
        <v>57</v>
      </c>
      <c r="E63" s="7" t="s">
        <v>11</v>
      </c>
      <c r="F63" s="9" t="s">
        <v>12</v>
      </c>
      <c r="G63" s="10">
        <v>45872.03395833333</v>
      </c>
      <c r="H63" s="8"/>
      <c r="I63" s="2" t="s">
        <v>23</v>
      </c>
    </row>
    <row r="64">
      <c r="A64" s="3">
        <v>1.85832361E8</v>
      </c>
      <c r="B64" s="3" t="s">
        <v>32</v>
      </c>
      <c r="C64" s="4">
        <f t="shared" ref="C64:C68" si="13">+5566999023131</f>
        <v>5566999023131</v>
      </c>
      <c r="D64" s="3" t="s">
        <v>64</v>
      </c>
      <c r="E64" s="3" t="s">
        <v>11</v>
      </c>
      <c r="F64" s="5" t="s">
        <v>27</v>
      </c>
      <c r="G64" s="6">
        <v>45881.11949074074</v>
      </c>
      <c r="H64" s="4"/>
      <c r="I64" s="2" t="s">
        <v>13</v>
      </c>
    </row>
    <row r="65">
      <c r="A65" s="7">
        <v>1.85832271E8</v>
      </c>
      <c r="B65" s="7" t="s">
        <v>32</v>
      </c>
      <c r="C65" s="8">
        <f t="shared" si="13"/>
        <v>5566999023131</v>
      </c>
      <c r="D65" s="7" t="s">
        <v>64</v>
      </c>
      <c r="E65" s="7" t="s">
        <v>11</v>
      </c>
      <c r="F65" s="9" t="s">
        <v>27</v>
      </c>
      <c r="G65" s="10">
        <v>45881.118101851855</v>
      </c>
      <c r="H65" s="8"/>
      <c r="I65" s="2" t="s">
        <v>13</v>
      </c>
    </row>
    <row r="66">
      <c r="A66" s="3">
        <v>1.8583218E8</v>
      </c>
      <c r="B66" s="3" t="s">
        <v>32</v>
      </c>
      <c r="C66" s="4">
        <f t="shared" si="13"/>
        <v>5566999023131</v>
      </c>
      <c r="D66" s="3" t="s">
        <v>64</v>
      </c>
      <c r="E66" s="3" t="s">
        <v>11</v>
      </c>
      <c r="F66" s="5" t="s">
        <v>27</v>
      </c>
      <c r="G66" s="6">
        <v>45881.11670138889</v>
      </c>
      <c r="H66" s="4"/>
      <c r="I66" s="2" t="s">
        <v>13</v>
      </c>
    </row>
    <row r="67">
      <c r="A67" s="7">
        <v>1.8583208E8</v>
      </c>
      <c r="B67" s="7" t="s">
        <v>32</v>
      </c>
      <c r="C67" s="8">
        <f t="shared" si="13"/>
        <v>5566999023131</v>
      </c>
      <c r="D67" s="7" t="s">
        <v>64</v>
      </c>
      <c r="E67" s="7" t="s">
        <v>11</v>
      </c>
      <c r="F67" s="9" t="s">
        <v>27</v>
      </c>
      <c r="G67" s="10">
        <v>45881.115324074075</v>
      </c>
      <c r="H67" s="8"/>
      <c r="I67" s="2" t="s">
        <v>13</v>
      </c>
    </row>
    <row r="68">
      <c r="A68" s="3">
        <v>1.85831977E8</v>
      </c>
      <c r="B68" s="3" t="s">
        <v>32</v>
      </c>
      <c r="C68" s="4">
        <f t="shared" si="13"/>
        <v>5566999023131</v>
      </c>
      <c r="D68" s="3" t="s">
        <v>64</v>
      </c>
      <c r="E68" s="3" t="s">
        <v>11</v>
      </c>
      <c r="F68" s="5" t="s">
        <v>27</v>
      </c>
      <c r="G68" s="6">
        <v>45881.11392361111</v>
      </c>
      <c r="H68" s="4"/>
      <c r="I68" s="2" t="s">
        <v>13</v>
      </c>
    </row>
    <row r="69">
      <c r="A69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65</v>
      </c>
      <c r="B1" s="2" t="s">
        <v>2</v>
      </c>
      <c r="C1" s="2" t="s">
        <v>3</v>
      </c>
      <c r="D1" s="2" t="s">
        <v>66</v>
      </c>
      <c r="E1" s="2" t="s">
        <v>4</v>
      </c>
      <c r="F1" s="2" t="s">
        <v>67</v>
      </c>
      <c r="G1" s="2" t="s">
        <v>68</v>
      </c>
      <c r="H1" s="2" t="s">
        <v>69</v>
      </c>
      <c r="I1" s="2" t="s">
        <v>8</v>
      </c>
    </row>
  </sheetData>
  <drawing r:id="rId1"/>
</worksheet>
</file>