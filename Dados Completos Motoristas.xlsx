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Completos" sheetId="1" r:id="rId4"/>
    <sheet state="visible" name="Página4" sheetId="2" r:id="rId5"/>
  </sheets>
  <definedNames/>
  <calcPr/>
</workbook>
</file>

<file path=xl/sharedStrings.xml><?xml version="1.0" encoding="utf-8"?>
<sst xmlns="http://schemas.openxmlformats.org/spreadsheetml/2006/main" count="652" uniqueCount="89">
  <si>
    <t>Data</t>
  </si>
  <si>
    <t>Driver ID</t>
  </si>
  <si>
    <t>Driver Name</t>
  </si>
  <si>
    <t>Phone Number</t>
  </si>
  <si>
    <t>Request Sent</t>
  </si>
  <si>
    <t>Requests Received</t>
  </si>
  <si>
    <t>User Cancelled Rides</t>
  </si>
  <si>
    <t>User Cancelled Ride (cash)</t>
  </si>
  <si>
    <t>User Cancelled Ride (wallet)</t>
  </si>
  <si>
    <t>Driver Cancelled Rides</t>
  </si>
  <si>
    <t>Driver Cancelled Ride (cash)</t>
  </si>
  <si>
    <t>Driver Cancelled Ride (wallet)</t>
  </si>
  <si>
    <t>Rejected Rides</t>
  </si>
  <si>
    <t>Success Rides</t>
  </si>
  <si>
    <t>Missed Rides</t>
  </si>
  <si>
    <t>Active Days</t>
  </si>
  <si>
    <t>Online Hours</t>
  </si>
  <si>
    <t>D2C Referral</t>
  </si>
  <si>
    <t>D2D Referral</t>
  </si>
  <si>
    <t>Start End Cheating Rides</t>
  </si>
  <si>
    <t>Manual Start End Cheating Rides</t>
  </si>
  <si>
    <t>Vehicle</t>
  </si>
  <si>
    <t>CITY</t>
  </si>
  <si>
    <t>Rogério Gelcivan</t>
  </si>
  <si>
    <t>POPULAR</t>
  </si>
  <si>
    <t>Weslei Martins de souza</t>
  </si>
  <si>
    <t>Renatia Barroso Da Silva</t>
  </si>
  <si>
    <t>Mateus Parra</t>
  </si>
  <si>
    <t>1.75</t>
  </si>
  <si>
    <t>2.25</t>
  </si>
  <si>
    <t>23.75</t>
  </si>
  <si>
    <t>Isaac Almeida Silva Almeida</t>
  </si>
  <si>
    <t>Fabio Henrique Farias Oliveira</t>
  </si>
  <si>
    <t>11.75</t>
  </si>
  <si>
    <t>4.25</t>
  </si>
  <si>
    <t>Rogerio Oliveira Lima</t>
  </si>
  <si>
    <t>Bruno Silva</t>
  </si>
  <si>
    <t>Márcio De Oliveira Cabral</t>
  </si>
  <si>
    <t>Elindo Juliao Severino</t>
  </si>
  <si>
    <t>22.25</t>
  </si>
  <si>
    <t>17.25</t>
  </si>
  <si>
    <t>15.25</t>
  </si>
  <si>
    <t>10.25</t>
  </si>
  <si>
    <t>16.75</t>
  </si>
  <si>
    <t>8.25</t>
  </si>
  <si>
    <t>1.25</t>
  </si>
  <si>
    <t>7.25</t>
  </si>
  <si>
    <t>22.75</t>
  </si>
  <si>
    <t>2.75</t>
  </si>
  <si>
    <t>POPUL</t>
  </si>
  <si>
    <t>Geison Rafael Da Silva</t>
  </si>
  <si>
    <t>14.75</t>
  </si>
  <si>
    <t>Halef Herbert Galvani De Souza</t>
  </si>
  <si>
    <t>19.75</t>
  </si>
  <si>
    <t>21.75</t>
  </si>
  <si>
    <t>14.25</t>
  </si>
  <si>
    <t>20.75</t>
  </si>
  <si>
    <t>12.25</t>
  </si>
  <si>
    <t>15.75</t>
  </si>
  <si>
    <t>18.25</t>
  </si>
  <si>
    <t>Miguel Vitorino Dos Santos Filho</t>
  </si>
  <si>
    <t>5.25</t>
  </si>
  <si>
    <t>23.25</t>
  </si>
  <si>
    <t>6.25</t>
  </si>
  <si>
    <t>13.75</t>
  </si>
  <si>
    <t>9.25</t>
  </si>
  <si>
    <t>3.75</t>
  </si>
  <si>
    <t>Marcos minichik</t>
  </si>
  <si>
    <t>16.25</t>
  </si>
  <si>
    <t>12.75</t>
  </si>
  <si>
    <t>Joao Da Roza Fernandes</t>
  </si>
  <si>
    <t>19.25</t>
  </si>
  <si>
    <t>20.25</t>
  </si>
  <si>
    <t>10.75</t>
  </si>
  <si>
    <t>Elindo Julião Severino</t>
  </si>
  <si>
    <t>Weslei Martins de Souza</t>
  </si>
  <si>
    <t>Miguel Vitorino dos Santos Filho</t>
  </si>
  <si>
    <t>17h25</t>
  </si>
  <si>
    <t>Fábio Henrique Farias Oliveira</t>
  </si>
  <si>
    <t>11.25</t>
  </si>
  <si>
    <t>Alex Sandro</t>
  </si>
  <si>
    <t>GUARANTA</t>
  </si>
  <si>
    <t>Uarlen Lima Figueiredo</t>
  </si>
  <si>
    <t>Jandui Pereira Lima</t>
  </si>
  <si>
    <t>Paula Oliveira De Almeida</t>
  </si>
  <si>
    <t>18.75</t>
  </si>
  <si>
    <t>0.25</t>
  </si>
  <si>
    <t>MATUPA</t>
  </si>
  <si>
    <t>João Da Roza Fernandes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</si>
</sst>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8">
    <font>
      <sz val="10.0"/>
      <color rgb="FF000000"/>
      <name val="Arial"/>
      <scheme val="minor"/>
    </font>
    <font>
      <color theme="1"/>
      <name val="Rubik"/>
    </font>
    <font>
      <color theme="1"/>
      <name val="Arial"/>
      <scheme val="minor"/>
    </font>
    <font>
      <i/>
      <sz val="10.0"/>
      <color theme="1"/>
      <name val="Arial"/>
      <scheme val="minor"/>
    </font>
    <font>
      <sz val="11.0"/>
      <color rgb="FF000000"/>
      <name val="Rubik"/>
    </font>
    <font>
      <i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BFC"/>
        <bgColor rgb="FFFAFBF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ont="1">
      <alignment horizontal="center"/>
    </xf>
    <xf borderId="0" fillId="2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 readingOrder="0"/>
    </xf>
    <xf borderId="0" fillId="2" fontId="4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readingOrder="0"/>
    </xf>
    <xf borderId="0" fillId="2" fontId="0" numFmtId="164" xfId="0" applyAlignment="1" applyFont="1" applyNumberFormat="1">
      <alignment horizontal="center" readingOrder="0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0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2" fontId="4" numFmtId="165" xfId="0" applyAlignment="1" applyFont="1" applyNumberFormat="1">
      <alignment horizontal="center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24.88"/>
    <col customWidth="1" min="4" max="4" width="22.13"/>
    <col customWidth="1" min="5" max="5" width="16.75"/>
    <col customWidth="1" min="6" max="6" width="20.88"/>
    <col customWidth="1" min="7" max="7" width="26.25"/>
    <col customWidth="1" min="8" max="8" width="34.25"/>
    <col customWidth="1" min="9" max="9" width="39.0"/>
    <col customWidth="1" min="10" max="10" width="35.25"/>
    <col customWidth="1" min="11" max="11" width="32.0"/>
    <col customWidth="1" min="12" max="12" width="32.13"/>
    <col customWidth="1" min="13" max="13" width="22.5"/>
    <col customWidth="1" min="14" max="15" width="21.25"/>
    <col customWidth="1" min="18" max="18" width="24.75"/>
    <col customWidth="1" min="19" max="19" width="18.25"/>
    <col customWidth="1" min="20" max="20" width="23.88"/>
    <col customWidth="1" min="21" max="21" width="2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>
        <v>45751.0</v>
      </c>
      <c r="B2" s="4">
        <v>1.7174024E7</v>
      </c>
      <c r="C2" s="4" t="s">
        <v>23</v>
      </c>
      <c r="D2" s="5">
        <f>+5566999943102</f>
        <v>5566999943102</v>
      </c>
      <c r="E2" s="4">
        <v>3.0</v>
      </c>
      <c r="F2" s="4">
        <v>3.0</v>
      </c>
      <c r="G2" s="4">
        <v>0.0</v>
      </c>
      <c r="H2" s="4">
        <v>0.0</v>
      </c>
      <c r="I2" s="4">
        <v>0.0</v>
      </c>
      <c r="J2" s="4">
        <v>2.0</v>
      </c>
      <c r="K2" s="4">
        <v>2.0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6">
        <v>45779.0</v>
      </c>
      <c r="R2" s="4">
        <v>0.0</v>
      </c>
      <c r="S2" s="4">
        <v>0.0</v>
      </c>
      <c r="T2" s="4">
        <v>0.0</v>
      </c>
      <c r="U2" s="4">
        <v>0.0</v>
      </c>
      <c r="V2" s="4" t="s">
        <v>24</v>
      </c>
    </row>
    <row r="3">
      <c r="A3" s="3">
        <v>45751.0</v>
      </c>
      <c r="B3" s="4">
        <v>1.7116809E7</v>
      </c>
      <c r="C3" s="4" t="s">
        <v>25</v>
      </c>
      <c r="D3" s="5">
        <f>+5566996708347</f>
        <v>5566996708347</v>
      </c>
      <c r="E3" s="4">
        <v>1.0</v>
      </c>
      <c r="F3" s="4">
        <v>1.0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1.0</v>
      </c>
      <c r="Q3" s="6">
        <v>45797.0</v>
      </c>
      <c r="R3" s="4">
        <v>0.0</v>
      </c>
      <c r="S3" s="4">
        <v>0.0</v>
      </c>
      <c r="T3" s="4">
        <v>0.0</v>
      </c>
      <c r="U3" s="4">
        <v>0.0</v>
      </c>
      <c r="V3" s="4" t="s">
        <v>24</v>
      </c>
    </row>
    <row r="4">
      <c r="A4" s="3">
        <v>45751.0</v>
      </c>
      <c r="B4" s="7">
        <v>1.7079326E7</v>
      </c>
      <c r="C4" s="7" t="s">
        <v>26</v>
      </c>
      <c r="D4" s="8">
        <f>+5566999516439</f>
        <v>5566999516439</v>
      </c>
      <c r="E4" s="7">
        <v>1.0</v>
      </c>
      <c r="F4" s="7">
        <v>1.0</v>
      </c>
      <c r="G4" s="7">
        <v>1.0</v>
      </c>
      <c r="H4" s="7">
        <v>1.0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1.0</v>
      </c>
      <c r="Q4" s="9">
        <v>45786.0</v>
      </c>
      <c r="R4" s="7">
        <v>0.0</v>
      </c>
      <c r="S4" s="7">
        <v>0.0</v>
      </c>
      <c r="T4" s="7">
        <v>0.0</v>
      </c>
      <c r="U4" s="7">
        <v>0.0</v>
      </c>
      <c r="V4" s="7" t="s">
        <v>24</v>
      </c>
    </row>
    <row r="5">
      <c r="A5" s="3">
        <v>45752.0</v>
      </c>
      <c r="B5" s="7">
        <v>1.6629776E7</v>
      </c>
      <c r="C5" s="7" t="s">
        <v>27</v>
      </c>
      <c r="D5" s="8">
        <f t="shared" ref="D5:D6" si="1">+5566996319455</f>
        <v>5566996319455</v>
      </c>
      <c r="E5" s="7">
        <v>3.0</v>
      </c>
      <c r="F5" s="7">
        <v>3.0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2.0</v>
      </c>
      <c r="P5" s="7">
        <v>1.0</v>
      </c>
      <c r="Q5" s="7" t="s">
        <v>28</v>
      </c>
      <c r="R5" s="7">
        <v>0.0</v>
      </c>
      <c r="S5" s="7">
        <v>0.0</v>
      </c>
      <c r="T5" s="7">
        <v>0.0</v>
      </c>
      <c r="U5" s="7">
        <v>0.0</v>
      </c>
      <c r="V5" s="7" t="s">
        <v>24</v>
      </c>
    </row>
    <row r="6">
      <c r="A6" s="3">
        <v>45753.0</v>
      </c>
      <c r="B6" s="7">
        <v>1.6629776E7</v>
      </c>
      <c r="C6" s="7" t="s">
        <v>27</v>
      </c>
      <c r="D6" s="8">
        <f t="shared" si="1"/>
        <v>5566996319455</v>
      </c>
      <c r="E6" s="7">
        <v>4.0</v>
      </c>
      <c r="F6" s="7">
        <v>4.0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2.0</v>
      </c>
      <c r="P6" s="7">
        <v>1.0</v>
      </c>
      <c r="Q6" s="7" t="s">
        <v>29</v>
      </c>
      <c r="R6" s="7">
        <v>0.0</v>
      </c>
      <c r="S6" s="7">
        <v>0.0</v>
      </c>
      <c r="T6" s="7">
        <v>0.0</v>
      </c>
      <c r="U6" s="7">
        <v>0.0</v>
      </c>
      <c r="V6" s="7" t="s">
        <v>24</v>
      </c>
    </row>
    <row r="7">
      <c r="A7" s="3">
        <v>45754.0</v>
      </c>
      <c r="B7" s="4">
        <v>1.7174024E7</v>
      </c>
      <c r="C7" s="4" t="s">
        <v>23</v>
      </c>
      <c r="D7" s="5">
        <f>+5566999943102</f>
        <v>5566999943102</v>
      </c>
      <c r="E7" s="4">
        <v>2.0</v>
      </c>
      <c r="F7" s="4">
        <v>2.0</v>
      </c>
      <c r="G7" s="4">
        <v>0.0</v>
      </c>
      <c r="H7" s="4">
        <v>0.0</v>
      </c>
      <c r="I7" s="4">
        <v>0.0</v>
      </c>
      <c r="J7" s="4">
        <v>1.0</v>
      </c>
      <c r="K7" s="4">
        <v>1.0</v>
      </c>
      <c r="L7" s="4">
        <v>0.0</v>
      </c>
      <c r="M7" s="4">
        <v>0.0</v>
      </c>
      <c r="N7" s="4">
        <v>0.0</v>
      </c>
      <c r="O7" s="4">
        <v>0.0</v>
      </c>
      <c r="P7" s="4">
        <v>1.0</v>
      </c>
      <c r="Q7" s="4">
        <v>5.0</v>
      </c>
      <c r="R7" s="4">
        <v>0.0</v>
      </c>
      <c r="S7" s="4">
        <v>0.0</v>
      </c>
      <c r="T7" s="4">
        <v>0.0</v>
      </c>
      <c r="U7" s="4">
        <v>0.0</v>
      </c>
      <c r="V7" s="4" t="s">
        <v>24</v>
      </c>
    </row>
    <row r="8">
      <c r="A8" s="3">
        <v>45754.0</v>
      </c>
      <c r="B8" s="7">
        <v>1.7116809E7</v>
      </c>
      <c r="C8" s="7" t="s">
        <v>25</v>
      </c>
      <c r="D8" s="8">
        <f>+5566996708347</f>
        <v>5566996708347</v>
      </c>
      <c r="E8" s="7">
        <v>1.0</v>
      </c>
      <c r="F8" s="7">
        <v>1.0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1.0</v>
      </c>
      <c r="Q8" s="7" t="s">
        <v>30</v>
      </c>
      <c r="R8" s="7">
        <v>0.0</v>
      </c>
      <c r="S8" s="7">
        <v>0.0</v>
      </c>
      <c r="T8" s="7">
        <v>0.0</v>
      </c>
      <c r="U8" s="7">
        <v>0.0</v>
      </c>
      <c r="V8" s="7" t="s">
        <v>24</v>
      </c>
    </row>
    <row r="9">
      <c r="A9" s="3">
        <v>45754.0</v>
      </c>
      <c r="B9" s="4">
        <v>1.7109343E7</v>
      </c>
      <c r="C9" s="4" t="s">
        <v>31</v>
      </c>
      <c r="D9" s="5">
        <f>+5566996035167</f>
        <v>5566996035167</v>
      </c>
      <c r="E9" s="4">
        <v>1.0</v>
      </c>
      <c r="F9" s="4">
        <v>1.0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1.0</v>
      </c>
      <c r="Q9" s="6">
        <v>45793.0</v>
      </c>
      <c r="R9" s="4">
        <v>0.0</v>
      </c>
      <c r="S9" s="4">
        <v>0.0</v>
      </c>
      <c r="T9" s="4">
        <v>0.0</v>
      </c>
      <c r="U9" s="4">
        <v>0.0</v>
      </c>
      <c r="V9" s="4" t="s">
        <v>24</v>
      </c>
    </row>
    <row r="10">
      <c r="A10" s="3">
        <v>45754.0</v>
      </c>
      <c r="B10" s="7">
        <v>1.7101714E7</v>
      </c>
      <c r="C10" s="7" t="s">
        <v>32</v>
      </c>
      <c r="D10" s="8">
        <f>+5566996006211</f>
        <v>5566996006211</v>
      </c>
      <c r="E10" s="7">
        <v>1.0</v>
      </c>
      <c r="F10" s="7">
        <v>1.0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1.0</v>
      </c>
      <c r="Q10" s="7" t="s">
        <v>30</v>
      </c>
      <c r="R10" s="7">
        <v>0.0</v>
      </c>
      <c r="S10" s="7">
        <v>0.0</v>
      </c>
      <c r="T10" s="7">
        <v>0.0</v>
      </c>
      <c r="U10" s="7">
        <v>0.0</v>
      </c>
      <c r="V10" s="7" t="s">
        <v>24</v>
      </c>
    </row>
    <row r="11">
      <c r="A11" s="3">
        <v>45755.0</v>
      </c>
      <c r="B11" s="4">
        <v>1.7174024E7</v>
      </c>
      <c r="C11" s="4" t="s">
        <v>23</v>
      </c>
      <c r="D11" s="5">
        <f>+5566999943102</f>
        <v>5566999943102</v>
      </c>
      <c r="E11" s="4">
        <v>1.0</v>
      </c>
      <c r="F11" s="4">
        <v>1.0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1.0</v>
      </c>
      <c r="Q11" s="4" t="s">
        <v>33</v>
      </c>
      <c r="R11" s="4">
        <v>0.0</v>
      </c>
      <c r="S11" s="4">
        <v>0.0</v>
      </c>
      <c r="T11" s="4">
        <v>0.0</v>
      </c>
      <c r="U11" s="4">
        <v>0.0</v>
      </c>
      <c r="V11" s="4" t="s">
        <v>24</v>
      </c>
    </row>
    <row r="12">
      <c r="A12" s="3">
        <v>45755.0</v>
      </c>
      <c r="B12" s="4">
        <v>1.7116809E7</v>
      </c>
      <c r="C12" s="4" t="s">
        <v>25</v>
      </c>
      <c r="D12" s="5">
        <f>+5566996708347</f>
        <v>5566996708347</v>
      </c>
      <c r="E12" s="4">
        <v>1.0</v>
      </c>
      <c r="F12" s="4">
        <v>1.0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1.0</v>
      </c>
      <c r="Q12" s="4">
        <v>24.0</v>
      </c>
      <c r="R12" s="4">
        <v>0.0</v>
      </c>
      <c r="S12" s="4">
        <v>0.0</v>
      </c>
      <c r="T12" s="4">
        <v>0.0</v>
      </c>
      <c r="U12" s="4">
        <v>0.0</v>
      </c>
      <c r="V12" s="4" t="s">
        <v>24</v>
      </c>
    </row>
    <row r="13">
      <c r="A13" s="3">
        <v>45755.0</v>
      </c>
      <c r="B13" s="7">
        <v>1.7109343E7</v>
      </c>
      <c r="C13" s="7" t="s">
        <v>31</v>
      </c>
      <c r="D13" s="8">
        <f>+5566996035167</f>
        <v>5566996035167</v>
      </c>
      <c r="E13" s="7">
        <v>1.0</v>
      </c>
      <c r="F13" s="7">
        <v>1.0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1.0</v>
      </c>
      <c r="Q13" s="7">
        <v>19.0</v>
      </c>
      <c r="R13" s="7">
        <v>0.0</v>
      </c>
      <c r="S13" s="7">
        <v>0.0</v>
      </c>
      <c r="T13" s="7">
        <v>0.0</v>
      </c>
      <c r="U13" s="7">
        <v>0.0</v>
      </c>
      <c r="V13" s="7" t="s">
        <v>24</v>
      </c>
    </row>
    <row r="14">
      <c r="A14" s="3">
        <v>45755.0</v>
      </c>
      <c r="B14" s="4">
        <v>1.7101714E7</v>
      </c>
      <c r="C14" s="4" t="s">
        <v>32</v>
      </c>
      <c r="D14" s="5">
        <f>+5566996006211</f>
        <v>5566996006211</v>
      </c>
      <c r="E14" s="4">
        <v>1.0</v>
      </c>
      <c r="F14" s="4">
        <v>1.0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1.0</v>
      </c>
      <c r="Q14" s="4">
        <v>24.0</v>
      </c>
      <c r="R14" s="4">
        <v>0.0</v>
      </c>
      <c r="S14" s="4">
        <v>0.0</v>
      </c>
      <c r="T14" s="4">
        <v>0.0</v>
      </c>
      <c r="U14" s="4">
        <v>0.0</v>
      </c>
      <c r="V14" s="4" t="s">
        <v>24</v>
      </c>
    </row>
    <row r="15">
      <c r="A15" s="3">
        <v>45755.0</v>
      </c>
      <c r="B15" s="7">
        <v>1.7079326E7</v>
      </c>
      <c r="C15" s="7" t="s">
        <v>26</v>
      </c>
      <c r="D15" s="8">
        <f>+5566999516439</f>
        <v>5566999516439</v>
      </c>
      <c r="E15" s="7">
        <v>1.0</v>
      </c>
      <c r="F15" s="7">
        <v>1.0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1.0</v>
      </c>
      <c r="Q15" s="7" t="s">
        <v>34</v>
      </c>
      <c r="R15" s="7">
        <v>0.0</v>
      </c>
      <c r="S15" s="7">
        <v>0.0</v>
      </c>
      <c r="T15" s="7">
        <v>0.0</v>
      </c>
      <c r="U15" s="7">
        <v>0.0</v>
      </c>
      <c r="V15" s="7" t="s">
        <v>24</v>
      </c>
    </row>
    <row r="16">
      <c r="A16" s="3">
        <v>45756.0</v>
      </c>
      <c r="B16" s="7">
        <v>1.7089446E7</v>
      </c>
      <c r="C16" s="7" t="s">
        <v>35</v>
      </c>
      <c r="D16" s="8">
        <f>+5566999810552</f>
        <v>5566999810552</v>
      </c>
      <c r="E16" s="7">
        <v>2.0</v>
      </c>
      <c r="F16" s="7">
        <v>2.0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2.0</v>
      </c>
      <c r="O16" s="7">
        <v>0.0</v>
      </c>
      <c r="P16" s="7">
        <v>1.0</v>
      </c>
      <c r="Q16" s="7">
        <v>18.0</v>
      </c>
      <c r="R16" s="7">
        <v>0.0</v>
      </c>
      <c r="S16" s="7">
        <v>0.0</v>
      </c>
      <c r="T16" s="7">
        <v>0.0</v>
      </c>
      <c r="U16" s="7">
        <v>0.0</v>
      </c>
      <c r="V16" s="7" t="s">
        <v>24</v>
      </c>
    </row>
    <row r="17">
      <c r="A17" s="3">
        <v>45756.0</v>
      </c>
      <c r="B17" s="4">
        <v>1.6263441E7</v>
      </c>
      <c r="C17" s="4" t="s">
        <v>36</v>
      </c>
      <c r="D17" s="5">
        <f>+5566996115789</f>
        <v>5566996115789</v>
      </c>
      <c r="E17" s="4">
        <v>2.0</v>
      </c>
      <c r="F17" s="4">
        <v>2.0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1.0</v>
      </c>
      <c r="N17" s="4">
        <v>0.0</v>
      </c>
      <c r="O17" s="4">
        <v>1.0</v>
      </c>
      <c r="P17" s="4">
        <v>1.0</v>
      </c>
      <c r="Q17" s="4">
        <v>24.0</v>
      </c>
      <c r="R17" s="4">
        <v>0.0</v>
      </c>
      <c r="S17" s="4">
        <v>0.0</v>
      </c>
      <c r="T17" s="4">
        <v>0.0</v>
      </c>
      <c r="U17" s="4">
        <v>0.0</v>
      </c>
      <c r="V17" s="4" t="s">
        <v>24</v>
      </c>
    </row>
    <row r="18">
      <c r="A18" s="3">
        <v>45756.0</v>
      </c>
      <c r="B18" s="7">
        <v>1.2146346E7</v>
      </c>
      <c r="C18" s="7" t="s">
        <v>37</v>
      </c>
      <c r="D18" s="8">
        <f>+5566996312650</f>
        <v>5566996312650</v>
      </c>
      <c r="E18" s="7">
        <v>2.0</v>
      </c>
      <c r="F18" s="7">
        <v>2.0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1.0</v>
      </c>
      <c r="Q18" s="7">
        <v>15.0</v>
      </c>
      <c r="R18" s="7">
        <v>0.0</v>
      </c>
      <c r="S18" s="7">
        <v>0.0</v>
      </c>
      <c r="T18" s="7">
        <v>0.0</v>
      </c>
      <c r="U18" s="7">
        <v>0.0</v>
      </c>
      <c r="V18" s="7" t="s">
        <v>24</v>
      </c>
    </row>
    <row r="19">
      <c r="A19" s="3">
        <v>45757.0</v>
      </c>
      <c r="B19" s="4">
        <v>1.7177142E7</v>
      </c>
      <c r="C19" s="4" t="s">
        <v>38</v>
      </c>
      <c r="D19" s="10">
        <f>+5566996954849</f>
        <v>5566996954849</v>
      </c>
      <c r="E19" s="4">
        <v>1.0</v>
      </c>
      <c r="F19" s="4">
        <v>1.0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0.0</v>
      </c>
      <c r="P19" s="4">
        <v>1.0</v>
      </c>
      <c r="Q19" s="6">
        <v>45781.0</v>
      </c>
      <c r="R19" s="4">
        <v>0.0</v>
      </c>
      <c r="S19" s="4">
        <v>0.0</v>
      </c>
      <c r="T19" s="4">
        <v>0.0</v>
      </c>
      <c r="U19" s="4">
        <v>0.0</v>
      </c>
      <c r="V19" s="4" t="s">
        <v>24</v>
      </c>
    </row>
    <row r="20">
      <c r="A20" s="11">
        <v>45757.0</v>
      </c>
      <c r="B20" s="7">
        <v>1.7174024E7</v>
      </c>
      <c r="C20" s="7" t="s">
        <v>23</v>
      </c>
      <c r="D20" s="12">
        <f>+5566999943102</f>
        <v>5566999943102</v>
      </c>
      <c r="E20" s="7">
        <v>2.0</v>
      </c>
      <c r="F20" s="7">
        <v>2.0</v>
      </c>
      <c r="G20" s="7">
        <v>0.0</v>
      </c>
      <c r="H20" s="7">
        <v>0.0</v>
      </c>
      <c r="I20" s="7">
        <v>0.0</v>
      </c>
      <c r="J20" s="7">
        <v>1.0</v>
      </c>
      <c r="K20" s="7">
        <v>1.0</v>
      </c>
      <c r="L20" s="7">
        <v>0.0</v>
      </c>
      <c r="M20" s="7">
        <v>0.0</v>
      </c>
      <c r="N20" s="7">
        <v>0.0</v>
      </c>
      <c r="O20" s="7">
        <v>0.0</v>
      </c>
      <c r="P20" s="7">
        <v>1.0</v>
      </c>
      <c r="Q20" s="7" t="s">
        <v>39</v>
      </c>
      <c r="R20" s="7">
        <v>0.0</v>
      </c>
      <c r="S20" s="7">
        <v>0.0</v>
      </c>
      <c r="T20" s="7">
        <v>0.0</v>
      </c>
      <c r="U20" s="7">
        <v>0.0</v>
      </c>
      <c r="V20" s="7" t="s">
        <v>24</v>
      </c>
    </row>
    <row r="21">
      <c r="A21" s="11">
        <v>45757.0</v>
      </c>
      <c r="B21" s="4">
        <v>1.7116809E7</v>
      </c>
      <c r="C21" s="4" t="s">
        <v>25</v>
      </c>
      <c r="D21" s="10">
        <f>+5566996708347</f>
        <v>5566996708347</v>
      </c>
      <c r="E21" s="4">
        <v>1.0</v>
      </c>
      <c r="F21" s="4">
        <v>1.0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1.0</v>
      </c>
      <c r="Q21" s="4">
        <v>23.0</v>
      </c>
      <c r="R21" s="4">
        <v>0.0</v>
      </c>
      <c r="S21" s="4">
        <v>0.0</v>
      </c>
      <c r="T21" s="4">
        <v>0.0</v>
      </c>
      <c r="U21" s="4">
        <v>0.0</v>
      </c>
      <c r="V21" s="4" t="s">
        <v>24</v>
      </c>
    </row>
    <row r="22">
      <c r="A22" s="11">
        <v>45757.0</v>
      </c>
      <c r="B22" s="7">
        <v>1.6263441E7</v>
      </c>
      <c r="C22" s="7" t="s">
        <v>36</v>
      </c>
      <c r="D22" s="12">
        <f>+5566996115789</f>
        <v>5566996115789</v>
      </c>
      <c r="E22" s="7">
        <v>1.0</v>
      </c>
      <c r="F22" s="7">
        <v>1.0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1.0</v>
      </c>
      <c r="O22" s="7">
        <v>0.0</v>
      </c>
      <c r="P22" s="7">
        <v>1.0</v>
      </c>
      <c r="Q22" s="7">
        <v>23.0</v>
      </c>
      <c r="R22" s="7">
        <v>0.0</v>
      </c>
      <c r="S22" s="7">
        <v>0.0</v>
      </c>
      <c r="T22" s="7">
        <v>0.0</v>
      </c>
      <c r="U22" s="7">
        <v>0.0</v>
      </c>
      <c r="V22" s="7" t="s">
        <v>24</v>
      </c>
    </row>
    <row r="23">
      <c r="A23" s="11">
        <v>45758.0</v>
      </c>
      <c r="B23" s="4">
        <v>1.7177142E7</v>
      </c>
      <c r="C23" s="4" t="s">
        <v>38</v>
      </c>
      <c r="D23" s="5">
        <f>+5566996954849</f>
        <v>5566996954849</v>
      </c>
      <c r="E23" s="4">
        <v>2.0</v>
      </c>
      <c r="F23" s="4">
        <v>2.0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 t="s">
        <v>40</v>
      </c>
      <c r="R23" s="4">
        <v>0.0</v>
      </c>
      <c r="S23" s="4">
        <v>0.0</v>
      </c>
      <c r="T23" s="4">
        <v>0.0</v>
      </c>
      <c r="U23" s="4">
        <v>0.0</v>
      </c>
      <c r="V23" s="4" t="s">
        <v>24</v>
      </c>
    </row>
    <row r="24">
      <c r="A24" s="11">
        <v>45758.0</v>
      </c>
      <c r="B24" s="7">
        <v>1.7174024E7</v>
      </c>
      <c r="C24" s="7" t="s">
        <v>23</v>
      </c>
      <c r="D24" s="8">
        <f>+5566999943102</f>
        <v>5566999943102</v>
      </c>
      <c r="E24" s="7">
        <v>2.0</v>
      </c>
      <c r="F24" s="7">
        <v>2.0</v>
      </c>
      <c r="G24" s="7">
        <v>0.0</v>
      </c>
      <c r="H24" s="7">
        <v>0.0</v>
      </c>
      <c r="I24" s="7">
        <v>0.0</v>
      </c>
      <c r="J24" s="7">
        <v>1.0</v>
      </c>
      <c r="K24" s="7">
        <v>1.0</v>
      </c>
      <c r="L24" s="7">
        <v>0.0</v>
      </c>
      <c r="M24" s="7">
        <v>0.0</v>
      </c>
      <c r="N24" s="7">
        <v>1.0</v>
      </c>
      <c r="O24" s="7">
        <v>0.0</v>
      </c>
      <c r="P24" s="7">
        <v>1.0</v>
      </c>
      <c r="Q24" s="9">
        <v>45787.0</v>
      </c>
      <c r="R24" s="7">
        <v>0.0</v>
      </c>
      <c r="S24" s="7">
        <v>0.0</v>
      </c>
      <c r="T24" s="7">
        <v>0.0</v>
      </c>
      <c r="U24" s="7">
        <v>0.0</v>
      </c>
      <c r="V24" s="7" t="s">
        <v>24</v>
      </c>
    </row>
    <row r="25">
      <c r="A25" s="11">
        <v>45758.0</v>
      </c>
      <c r="B25" s="7">
        <v>1.7116809E7</v>
      </c>
      <c r="C25" s="7" t="s">
        <v>25</v>
      </c>
      <c r="D25" s="8">
        <f>+5566996708347</f>
        <v>5566996708347</v>
      </c>
      <c r="E25" s="7">
        <v>1.0</v>
      </c>
      <c r="F25" s="7">
        <v>1.0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1.0</v>
      </c>
      <c r="Q25" s="9">
        <v>45800.0</v>
      </c>
      <c r="R25" s="7">
        <v>0.0</v>
      </c>
      <c r="S25" s="7">
        <v>0.0</v>
      </c>
      <c r="T25" s="7">
        <v>0.0</v>
      </c>
      <c r="U25" s="7">
        <v>0.0</v>
      </c>
      <c r="V25" s="7" t="s">
        <v>24</v>
      </c>
    </row>
    <row r="26">
      <c r="A26" s="11">
        <v>45758.0</v>
      </c>
      <c r="B26" s="4">
        <v>1.7109343E7</v>
      </c>
      <c r="C26" s="4" t="s">
        <v>31</v>
      </c>
      <c r="D26" s="5">
        <f>+5566996035167</f>
        <v>5566996035167</v>
      </c>
      <c r="E26" s="4">
        <v>2.0</v>
      </c>
      <c r="F26" s="4">
        <v>2.0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1.0</v>
      </c>
      <c r="Q26" s="4" t="s">
        <v>41</v>
      </c>
      <c r="R26" s="4">
        <v>0.0</v>
      </c>
      <c r="S26" s="4">
        <v>0.0</v>
      </c>
      <c r="T26" s="4">
        <v>0.0</v>
      </c>
      <c r="U26" s="4">
        <v>0.0</v>
      </c>
      <c r="V26" s="4" t="s">
        <v>24</v>
      </c>
    </row>
    <row r="27">
      <c r="A27" s="11">
        <v>45758.0</v>
      </c>
      <c r="B27" s="7">
        <v>1.7101714E7</v>
      </c>
      <c r="C27" s="7" t="s">
        <v>32</v>
      </c>
      <c r="D27" s="8">
        <f>+5566996006211</f>
        <v>5566996006211</v>
      </c>
      <c r="E27" s="7">
        <v>2.0</v>
      </c>
      <c r="F27" s="7">
        <v>2.0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1.0</v>
      </c>
      <c r="Q27" s="9">
        <v>45800.0</v>
      </c>
      <c r="R27" s="7">
        <v>0.0</v>
      </c>
      <c r="S27" s="7">
        <v>0.0</v>
      </c>
      <c r="T27" s="7">
        <v>0.0</v>
      </c>
      <c r="U27" s="7">
        <v>0.0</v>
      </c>
      <c r="V27" s="7" t="s">
        <v>24</v>
      </c>
    </row>
    <row r="28">
      <c r="A28" s="11">
        <v>45758.0</v>
      </c>
      <c r="B28" s="4">
        <v>1.7079326E7</v>
      </c>
      <c r="C28" s="4" t="s">
        <v>26</v>
      </c>
      <c r="D28" s="5">
        <f>+5566999516439</f>
        <v>5566999516439</v>
      </c>
      <c r="E28" s="4">
        <v>1.0</v>
      </c>
      <c r="F28" s="4">
        <v>1.0</v>
      </c>
      <c r="G28" s="4">
        <v>0.0</v>
      </c>
      <c r="H28" s="4">
        <v>0.0</v>
      </c>
      <c r="I28" s="4">
        <v>0.0</v>
      </c>
      <c r="J28" s="4">
        <v>1.0</v>
      </c>
      <c r="K28" s="4">
        <v>1.0</v>
      </c>
      <c r="L28" s="4">
        <v>0.0</v>
      </c>
      <c r="M28" s="4">
        <v>0.0</v>
      </c>
      <c r="N28" s="4">
        <v>0.0</v>
      </c>
      <c r="O28" s="4">
        <v>0.0</v>
      </c>
      <c r="P28" s="4">
        <v>1.0</v>
      </c>
      <c r="Q28" s="6">
        <v>45779.0</v>
      </c>
      <c r="R28" s="4">
        <v>0.0</v>
      </c>
      <c r="S28" s="4">
        <v>0.0</v>
      </c>
      <c r="T28" s="4">
        <v>0.0</v>
      </c>
      <c r="U28" s="4">
        <v>0.0</v>
      </c>
      <c r="V28" s="4" t="s">
        <v>24</v>
      </c>
    </row>
    <row r="29">
      <c r="A29" s="11">
        <v>45759.0</v>
      </c>
      <c r="B29" s="4">
        <v>1.7174024E7</v>
      </c>
      <c r="C29" s="4" t="s">
        <v>23</v>
      </c>
      <c r="D29" s="5">
        <f>+5566999943102</f>
        <v>5566999943102</v>
      </c>
      <c r="E29" s="4">
        <v>5.0</v>
      </c>
      <c r="F29" s="4">
        <v>5.0</v>
      </c>
      <c r="G29" s="4">
        <v>0.0</v>
      </c>
      <c r="H29" s="4">
        <v>0.0</v>
      </c>
      <c r="I29" s="4">
        <v>0.0</v>
      </c>
      <c r="J29" s="4">
        <v>3.0</v>
      </c>
      <c r="K29" s="4">
        <v>3.0</v>
      </c>
      <c r="L29" s="4">
        <v>0.0</v>
      </c>
      <c r="M29" s="4">
        <v>0.0</v>
      </c>
      <c r="N29" s="4">
        <v>1.0</v>
      </c>
      <c r="O29" s="4">
        <v>0.0</v>
      </c>
      <c r="P29" s="4">
        <v>1.0</v>
      </c>
      <c r="Q29" s="4" t="s">
        <v>42</v>
      </c>
      <c r="R29" s="4">
        <v>0.0</v>
      </c>
      <c r="S29" s="4">
        <v>0.0</v>
      </c>
      <c r="T29" s="4">
        <v>0.0</v>
      </c>
      <c r="U29" s="4">
        <v>0.0</v>
      </c>
      <c r="V29" s="4" t="s">
        <v>24</v>
      </c>
    </row>
    <row r="30">
      <c r="A30" s="3">
        <v>45759.0</v>
      </c>
      <c r="B30" s="7">
        <v>1.7116809E7</v>
      </c>
      <c r="C30" s="7" t="s">
        <v>25</v>
      </c>
      <c r="D30" s="8">
        <f>+5566996708347</f>
        <v>5566996708347</v>
      </c>
      <c r="E30" s="7">
        <v>2.0</v>
      </c>
      <c r="F30" s="7">
        <v>2.0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1.0</v>
      </c>
      <c r="P30" s="7">
        <v>1.0</v>
      </c>
      <c r="Q30" s="7">
        <v>24.0</v>
      </c>
      <c r="R30" s="7">
        <v>0.0</v>
      </c>
      <c r="S30" s="7">
        <v>0.0</v>
      </c>
      <c r="T30" s="7">
        <v>0.0</v>
      </c>
      <c r="U30" s="7">
        <v>0.0</v>
      </c>
      <c r="V30" s="7" t="s">
        <v>24</v>
      </c>
    </row>
    <row r="31">
      <c r="A31" s="11">
        <v>45759.0</v>
      </c>
      <c r="B31" s="4">
        <v>1.7109343E7</v>
      </c>
      <c r="C31" s="4" t="s">
        <v>31</v>
      </c>
      <c r="D31" s="5">
        <f>+5566996035167</f>
        <v>5566996035167</v>
      </c>
      <c r="E31" s="4">
        <v>3.0</v>
      </c>
      <c r="F31" s="4">
        <v>3.0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1.0</v>
      </c>
      <c r="N31" s="4">
        <v>0.0</v>
      </c>
      <c r="O31" s="4">
        <v>1.0</v>
      </c>
      <c r="P31" s="4">
        <v>1.0</v>
      </c>
      <c r="Q31" s="4">
        <v>15.0</v>
      </c>
      <c r="R31" s="4">
        <v>0.0</v>
      </c>
      <c r="S31" s="4">
        <v>0.0</v>
      </c>
      <c r="T31" s="4">
        <v>0.0</v>
      </c>
      <c r="U31" s="4">
        <v>0.0</v>
      </c>
      <c r="V31" s="4" t="s">
        <v>24</v>
      </c>
    </row>
    <row r="32">
      <c r="A32" s="11">
        <v>45759.0</v>
      </c>
      <c r="B32" s="7">
        <v>1.7101714E7</v>
      </c>
      <c r="C32" s="7" t="s">
        <v>32</v>
      </c>
      <c r="D32" s="8">
        <f>+5566996006211</f>
        <v>5566996006211</v>
      </c>
      <c r="E32" s="7">
        <v>4.0</v>
      </c>
      <c r="F32" s="7">
        <v>4.0</v>
      </c>
      <c r="G32" s="7">
        <v>1.0</v>
      </c>
      <c r="H32" s="7">
        <v>1.0</v>
      </c>
      <c r="I32" s="7">
        <v>0.0</v>
      </c>
      <c r="J32" s="7">
        <v>0.0</v>
      </c>
      <c r="K32" s="7">
        <v>0.0</v>
      </c>
      <c r="L32" s="7">
        <v>0.0</v>
      </c>
      <c r="M32" s="7">
        <v>2.0</v>
      </c>
      <c r="N32" s="7">
        <v>1.0</v>
      </c>
      <c r="O32" s="7">
        <v>2.0</v>
      </c>
      <c r="P32" s="7">
        <v>1.0</v>
      </c>
      <c r="Q32" s="9">
        <v>45799.0</v>
      </c>
      <c r="R32" s="7">
        <v>0.0</v>
      </c>
      <c r="S32" s="7">
        <v>0.0</v>
      </c>
      <c r="T32" s="7">
        <v>0.0</v>
      </c>
      <c r="U32" s="7">
        <v>0.0</v>
      </c>
      <c r="V32" s="7" t="s">
        <v>24</v>
      </c>
    </row>
    <row r="33">
      <c r="A33" s="11">
        <v>45760.0</v>
      </c>
      <c r="B33" s="4">
        <v>1.7174024E7</v>
      </c>
      <c r="C33" s="4" t="s">
        <v>23</v>
      </c>
      <c r="D33" s="10">
        <f>+5566999943102</f>
        <v>5566999943102</v>
      </c>
      <c r="E33" s="4">
        <v>2.0</v>
      </c>
      <c r="F33" s="4">
        <v>2.0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2.0</v>
      </c>
      <c r="O33" s="4">
        <v>0.0</v>
      </c>
      <c r="P33" s="4">
        <v>1.0</v>
      </c>
      <c r="Q33" s="4">
        <v>7.0</v>
      </c>
      <c r="R33" s="4">
        <v>0.0</v>
      </c>
      <c r="S33" s="4">
        <v>0.0</v>
      </c>
      <c r="T33" s="4">
        <v>0.0</v>
      </c>
      <c r="U33" s="4">
        <v>0.0</v>
      </c>
      <c r="V33" s="4" t="s">
        <v>24</v>
      </c>
    </row>
    <row r="34">
      <c r="A34" s="13">
        <v>45760.0</v>
      </c>
      <c r="B34" s="7">
        <v>1.7116809E7</v>
      </c>
      <c r="C34" s="7" t="s">
        <v>25</v>
      </c>
      <c r="D34" s="12">
        <f>+5566996708347</f>
        <v>5566996708347</v>
      </c>
      <c r="E34" s="7">
        <v>1.0</v>
      </c>
      <c r="F34" s="7">
        <v>1.0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1.0</v>
      </c>
      <c r="Q34" s="7" t="s">
        <v>30</v>
      </c>
      <c r="R34" s="7">
        <v>0.0</v>
      </c>
      <c r="S34" s="7">
        <v>0.0</v>
      </c>
      <c r="T34" s="7">
        <v>0.0</v>
      </c>
      <c r="U34" s="7">
        <v>0.0</v>
      </c>
      <c r="V34" s="7" t="s">
        <v>24</v>
      </c>
    </row>
    <row r="35">
      <c r="A35" s="3">
        <v>45760.0</v>
      </c>
      <c r="B35" s="4">
        <v>1.7109343E7</v>
      </c>
      <c r="C35" s="4" t="s">
        <v>31</v>
      </c>
      <c r="D35" s="10">
        <f>+5566996035167</f>
        <v>5566996035167</v>
      </c>
      <c r="E35" s="4">
        <v>1.0</v>
      </c>
      <c r="F35" s="4">
        <v>1.0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1.0</v>
      </c>
      <c r="Q35" s="4" t="s">
        <v>43</v>
      </c>
      <c r="R35" s="4">
        <v>0.0</v>
      </c>
      <c r="S35" s="4">
        <v>0.0</v>
      </c>
      <c r="T35" s="4">
        <v>0.0</v>
      </c>
      <c r="U35" s="4">
        <v>0.0</v>
      </c>
      <c r="V35" s="4" t="s">
        <v>24</v>
      </c>
    </row>
    <row r="36">
      <c r="A36" s="11">
        <v>45760.0</v>
      </c>
      <c r="B36" s="7">
        <v>1.7101714E7</v>
      </c>
      <c r="C36" s="7" t="s">
        <v>32</v>
      </c>
      <c r="D36" s="8">
        <f>+5566996006211</f>
        <v>5566996006211</v>
      </c>
      <c r="E36" s="7">
        <v>1.0</v>
      </c>
      <c r="F36" s="7">
        <v>1.0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>
        <v>1.0</v>
      </c>
      <c r="Q36" s="7" t="s">
        <v>39</v>
      </c>
      <c r="R36" s="7">
        <v>0.0</v>
      </c>
      <c r="S36" s="7">
        <v>0.0</v>
      </c>
      <c r="T36" s="7">
        <v>0.0</v>
      </c>
      <c r="U36" s="7">
        <v>0.0</v>
      </c>
      <c r="V36" s="7" t="s">
        <v>24</v>
      </c>
    </row>
    <row r="37">
      <c r="A37" s="11">
        <v>45761.0</v>
      </c>
      <c r="B37" s="4">
        <v>1.7174024E7</v>
      </c>
      <c r="C37" s="4" t="s">
        <v>23</v>
      </c>
      <c r="D37" s="5">
        <f t="shared" ref="D37:D39" si="2">+5566999943102</f>
        <v>5566999943102</v>
      </c>
      <c r="E37" s="4">
        <v>2.0</v>
      </c>
      <c r="F37" s="4">
        <v>2.0</v>
      </c>
      <c r="G37" s="4">
        <v>0.0</v>
      </c>
      <c r="H37" s="4">
        <v>0.0</v>
      </c>
      <c r="I37" s="4">
        <v>0.0</v>
      </c>
      <c r="J37" s="4">
        <v>1.0</v>
      </c>
      <c r="K37" s="4">
        <v>1.0</v>
      </c>
      <c r="L37" s="4">
        <v>0.0</v>
      </c>
      <c r="M37" s="4">
        <v>0.0</v>
      </c>
      <c r="N37" s="4">
        <v>1.0</v>
      </c>
      <c r="O37" s="4">
        <v>0.0</v>
      </c>
      <c r="P37" s="4">
        <v>1.0</v>
      </c>
      <c r="Q37" s="4">
        <v>7.0</v>
      </c>
      <c r="R37" s="4">
        <v>0.0</v>
      </c>
      <c r="S37" s="4">
        <v>0.0</v>
      </c>
      <c r="T37" s="4">
        <v>0.0</v>
      </c>
      <c r="U37" s="4">
        <v>0.0</v>
      </c>
      <c r="V37" s="4" t="s">
        <v>24</v>
      </c>
    </row>
    <row r="38">
      <c r="A38" s="11">
        <v>45763.0</v>
      </c>
      <c r="B38" s="4">
        <v>1.7174024E7</v>
      </c>
      <c r="C38" s="4" t="s">
        <v>23</v>
      </c>
      <c r="D38" s="5">
        <f t="shared" si="2"/>
        <v>5566999943102</v>
      </c>
      <c r="E38" s="4">
        <v>1.0</v>
      </c>
      <c r="F38" s="4">
        <v>1.0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1.0</v>
      </c>
      <c r="O38" s="4">
        <v>0.0</v>
      </c>
      <c r="P38" s="4">
        <v>1.0</v>
      </c>
      <c r="Q38" s="4" t="s">
        <v>44</v>
      </c>
      <c r="R38" s="4">
        <v>0.0</v>
      </c>
      <c r="S38" s="4">
        <v>0.0</v>
      </c>
      <c r="T38" s="4">
        <v>0.0</v>
      </c>
      <c r="U38" s="4">
        <v>0.0</v>
      </c>
      <c r="V38" s="4" t="s">
        <v>24</v>
      </c>
    </row>
    <row r="39">
      <c r="A39" s="11">
        <v>45765.0</v>
      </c>
      <c r="B39" s="4">
        <v>1.7174024E7</v>
      </c>
      <c r="C39" s="4" t="s">
        <v>23</v>
      </c>
      <c r="D39" s="5">
        <f t="shared" si="2"/>
        <v>5566999943102</v>
      </c>
      <c r="E39" s="4">
        <v>2.0</v>
      </c>
      <c r="F39" s="4">
        <v>2.0</v>
      </c>
      <c r="G39" s="4">
        <v>0.0</v>
      </c>
      <c r="H39" s="4">
        <v>0.0</v>
      </c>
      <c r="I39" s="4">
        <v>0.0</v>
      </c>
      <c r="J39" s="4">
        <v>1.0</v>
      </c>
      <c r="K39" s="4">
        <v>1.0</v>
      </c>
      <c r="L39" s="4">
        <v>0.0</v>
      </c>
      <c r="M39" s="4">
        <v>0.0</v>
      </c>
      <c r="N39" s="4">
        <v>1.0</v>
      </c>
      <c r="O39" s="4">
        <v>0.0</v>
      </c>
      <c r="P39" s="4">
        <v>1.0</v>
      </c>
      <c r="Q39" s="6">
        <v>45787.0</v>
      </c>
      <c r="R39" s="4">
        <v>0.0</v>
      </c>
      <c r="S39" s="4">
        <v>0.0</v>
      </c>
      <c r="T39" s="4">
        <v>0.0</v>
      </c>
      <c r="U39" s="4">
        <v>0.0</v>
      </c>
      <c r="V39" s="4" t="s">
        <v>24</v>
      </c>
    </row>
    <row r="40">
      <c r="A40" s="11">
        <v>45766.0</v>
      </c>
      <c r="B40" s="4">
        <v>1.7116809E7</v>
      </c>
      <c r="C40" s="4" t="s">
        <v>25</v>
      </c>
      <c r="D40" s="5">
        <f>+5566996708347</f>
        <v>5566996708347</v>
      </c>
      <c r="E40" s="4">
        <v>3.0</v>
      </c>
      <c r="F40" s="4">
        <v>3.0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1.0</v>
      </c>
      <c r="Q40" s="6">
        <v>45799.0</v>
      </c>
      <c r="R40" s="4">
        <v>0.0</v>
      </c>
      <c r="S40" s="4">
        <v>0.0</v>
      </c>
      <c r="T40" s="4">
        <v>0.0</v>
      </c>
      <c r="U40" s="4">
        <v>0.0</v>
      </c>
      <c r="V40" s="4" t="s">
        <v>24</v>
      </c>
    </row>
    <row r="41">
      <c r="A41" s="11">
        <v>45768.0</v>
      </c>
      <c r="B41" s="4">
        <v>1.7174024E7</v>
      </c>
      <c r="C41" s="4" t="s">
        <v>23</v>
      </c>
      <c r="D41" s="5">
        <f t="shared" ref="D41:D42" si="3">+5566999943102</f>
        <v>5566999943102</v>
      </c>
      <c r="E41" s="4">
        <v>1.0</v>
      </c>
      <c r="F41" s="4">
        <v>1.0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0.0</v>
      </c>
      <c r="P41" s="4">
        <v>1.0</v>
      </c>
      <c r="Q41" s="4" t="s">
        <v>45</v>
      </c>
      <c r="R41" s="4">
        <v>0.0</v>
      </c>
      <c r="S41" s="4">
        <v>0.0</v>
      </c>
      <c r="T41" s="4">
        <v>0.0</v>
      </c>
      <c r="U41" s="4">
        <v>0.0</v>
      </c>
      <c r="V41" s="4" t="s">
        <v>24</v>
      </c>
    </row>
    <row r="42">
      <c r="A42" s="11">
        <v>45778.0</v>
      </c>
      <c r="B42" s="4">
        <v>1.7174024E7</v>
      </c>
      <c r="C42" s="4" t="s">
        <v>23</v>
      </c>
      <c r="D42" s="5">
        <f t="shared" si="3"/>
        <v>5566999943102</v>
      </c>
      <c r="E42" s="4">
        <v>2.0</v>
      </c>
      <c r="F42" s="4">
        <v>2.0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1.0</v>
      </c>
      <c r="O42" s="4">
        <v>0.0</v>
      </c>
      <c r="P42" s="4">
        <v>1.0</v>
      </c>
      <c r="Q42" s="4" t="s">
        <v>46</v>
      </c>
      <c r="R42" s="4">
        <v>0.0</v>
      </c>
      <c r="S42" s="4">
        <v>0.0</v>
      </c>
      <c r="T42" s="4">
        <v>0.0</v>
      </c>
      <c r="U42" s="4">
        <v>0.0</v>
      </c>
      <c r="V42" s="4" t="s">
        <v>24</v>
      </c>
    </row>
    <row r="43">
      <c r="A43" s="11">
        <v>45778.0</v>
      </c>
      <c r="B43" s="7">
        <v>1.7116809E7</v>
      </c>
      <c r="C43" s="7" t="s">
        <v>25</v>
      </c>
      <c r="D43" s="8">
        <f>+5566996708347</f>
        <v>5566996708347</v>
      </c>
      <c r="E43" s="7">
        <v>2.0</v>
      </c>
      <c r="F43" s="7">
        <v>2.0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1.0</v>
      </c>
      <c r="Q43" s="9">
        <v>45800.0</v>
      </c>
      <c r="R43" s="7">
        <v>0.0</v>
      </c>
      <c r="S43" s="7">
        <v>0.0</v>
      </c>
      <c r="T43" s="7">
        <v>0.0</v>
      </c>
      <c r="U43" s="7">
        <v>0.0</v>
      </c>
      <c r="V43" s="7" t="s">
        <v>24</v>
      </c>
    </row>
    <row r="44">
      <c r="A44" s="11">
        <v>45778.0</v>
      </c>
      <c r="B44" s="4">
        <v>1.7101714E7</v>
      </c>
      <c r="C44" s="4" t="s">
        <v>32</v>
      </c>
      <c r="D44" s="5">
        <f>+5566996006211</f>
        <v>5566996006211</v>
      </c>
      <c r="E44" s="4">
        <v>2.0</v>
      </c>
      <c r="F44" s="4">
        <v>2.0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1.0</v>
      </c>
      <c r="N44" s="4">
        <v>0.0</v>
      </c>
      <c r="O44" s="4">
        <v>1.0</v>
      </c>
      <c r="P44" s="4">
        <v>1.0</v>
      </c>
      <c r="Q44" s="6">
        <v>45800.0</v>
      </c>
      <c r="R44" s="4">
        <v>0.0</v>
      </c>
      <c r="S44" s="4">
        <v>0.0</v>
      </c>
      <c r="T44" s="4">
        <v>0.0</v>
      </c>
      <c r="U44" s="4">
        <v>0.0</v>
      </c>
      <c r="V44" s="4" t="s">
        <v>24</v>
      </c>
    </row>
    <row r="45">
      <c r="A45" s="11">
        <v>45779.0</v>
      </c>
      <c r="B45" s="4">
        <v>1.7116809E7</v>
      </c>
      <c r="C45" s="4" t="s">
        <v>25</v>
      </c>
      <c r="D45" s="5">
        <f>+5566996708347</f>
        <v>5566996708347</v>
      </c>
      <c r="E45" s="4">
        <v>1.0</v>
      </c>
      <c r="F45" s="4">
        <v>1.0</v>
      </c>
      <c r="G45" s="4">
        <v>0.0</v>
      </c>
      <c r="H45" s="4">
        <v>0.0</v>
      </c>
      <c r="I45" s="4">
        <v>0.0</v>
      </c>
      <c r="J45" s="4">
        <v>1.0</v>
      </c>
      <c r="K45" s="4">
        <v>1.0</v>
      </c>
      <c r="L45" s="4">
        <v>0.0</v>
      </c>
      <c r="M45" s="4">
        <v>0.0</v>
      </c>
      <c r="N45" s="4">
        <v>0.0</v>
      </c>
      <c r="O45" s="4">
        <v>0.0</v>
      </c>
      <c r="P45" s="4">
        <v>1.0</v>
      </c>
      <c r="Q45" s="4" t="s">
        <v>47</v>
      </c>
      <c r="R45" s="4">
        <v>0.0</v>
      </c>
      <c r="S45" s="4">
        <v>0.0</v>
      </c>
      <c r="T45" s="4">
        <v>0.0</v>
      </c>
      <c r="U45" s="4">
        <v>0.0</v>
      </c>
      <c r="V45" s="4" t="s">
        <v>24</v>
      </c>
    </row>
    <row r="46">
      <c r="A46" s="11">
        <v>45779.0</v>
      </c>
      <c r="B46" s="7">
        <v>1.7109343E7</v>
      </c>
      <c r="C46" s="7" t="s">
        <v>31</v>
      </c>
      <c r="D46" s="8">
        <f>+5566996035167</f>
        <v>5566996035167</v>
      </c>
      <c r="E46" s="7">
        <v>1.0</v>
      </c>
      <c r="F46" s="7">
        <v>1.0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1.0</v>
      </c>
      <c r="Q46" s="9">
        <v>45791.0</v>
      </c>
      <c r="R46" s="7">
        <v>0.0</v>
      </c>
      <c r="S46" s="7">
        <v>0.0</v>
      </c>
      <c r="T46" s="7">
        <v>0.0</v>
      </c>
      <c r="U46" s="7">
        <v>0.0</v>
      </c>
      <c r="V46" s="7" t="s">
        <v>24</v>
      </c>
    </row>
    <row r="47">
      <c r="A47" s="11">
        <v>45779.0</v>
      </c>
      <c r="B47" s="4">
        <v>1.7101714E7</v>
      </c>
      <c r="C47" s="4" t="s">
        <v>32</v>
      </c>
      <c r="D47" s="5">
        <f>+5566996006211</f>
        <v>5566996006211</v>
      </c>
      <c r="E47" s="4">
        <v>1.0</v>
      </c>
      <c r="F47" s="4">
        <v>1.0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1.0</v>
      </c>
      <c r="N47" s="4">
        <v>0.0</v>
      </c>
      <c r="O47" s="4">
        <v>1.0</v>
      </c>
      <c r="P47" s="4">
        <v>1.0</v>
      </c>
      <c r="Q47" s="4" t="s">
        <v>47</v>
      </c>
      <c r="R47" s="4">
        <v>0.0</v>
      </c>
      <c r="S47" s="4">
        <v>0.0</v>
      </c>
      <c r="T47" s="4">
        <v>0.0</v>
      </c>
      <c r="U47" s="4">
        <v>0.0</v>
      </c>
      <c r="V47" s="4" t="s">
        <v>24</v>
      </c>
    </row>
    <row r="48">
      <c r="A48" s="11">
        <v>45780.0</v>
      </c>
      <c r="B48" s="4">
        <v>1.7174024E7</v>
      </c>
      <c r="C48" s="4" t="s">
        <v>23</v>
      </c>
      <c r="D48" s="5">
        <f t="shared" ref="D48:D49" si="4">+5566999943102</f>
        <v>5566999943102</v>
      </c>
      <c r="E48" s="4">
        <v>3.0</v>
      </c>
      <c r="F48" s="4">
        <v>3.0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2.0</v>
      </c>
      <c r="O48" s="4">
        <v>1.0</v>
      </c>
      <c r="P48" s="4">
        <v>1.0</v>
      </c>
      <c r="Q48" s="4" t="s">
        <v>48</v>
      </c>
      <c r="R48" s="4">
        <v>0.0</v>
      </c>
      <c r="S48" s="4">
        <v>0.0</v>
      </c>
      <c r="T48" s="4">
        <v>0.0</v>
      </c>
      <c r="U48" s="4">
        <v>0.0</v>
      </c>
      <c r="V48" s="4" t="s">
        <v>24</v>
      </c>
    </row>
    <row r="49">
      <c r="A49" s="11">
        <v>45781.0</v>
      </c>
      <c r="B49" s="4">
        <v>1.7174024E7</v>
      </c>
      <c r="C49" s="4" t="s">
        <v>23</v>
      </c>
      <c r="D49" s="5">
        <f t="shared" si="4"/>
        <v>5566999943102</v>
      </c>
      <c r="E49" s="4">
        <v>2.0</v>
      </c>
      <c r="F49" s="4">
        <v>2.0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2.0</v>
      </c>
      <c r="O49" s="4">
        <v>0.0</v>
      </c>
      <c r="P49" s="4">
        <v>1.0</v>
      </c>
      <c r="Q49" s="6">
        <v>45783.0</v>
      </c>
      <c r="R49" s="4">
        <v>0.0</v>
      </c>
      <c r="S49" s="4">
        <v>0.0</v>
      </c>
      <c r="T49" s="4">
        <v>0.0</v>
      </c>
      <c r="U49" s="4">
        <v>0.0</v>
      </c>
      <c r="V49" s="4" t="s">
        <v>49</v>
      </c>
    </row>
    <row r="50">
      <c r="A50" s="11">
        <v>45782.0</v>
      </c>
      <c r="B50" s="4">
        <v>1.7291892E7</v>
      </c>
      <c r="C50" s="4" t="s">
        <v>50</v>
      </c>
      <c r="D50" s="5">
        <f>+5566999146788</f>
        <v>5566999146788</v>
      </c>
      <c r="E50" s="4">
        <v>1.0</v>
      </c>
      <c r="F50" s="4">
        <v>1.0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1.0</v>
      </c>
      <c r="O50" s="4">
        <v>0.0</v>
      </c>
      <c r="P50" s="4">
        <v>1.0</v>
      </c>
      <c r="Q50" s="4">
        <v>14.0</v>
      </c>
      <c r="R50" s="4">
        <v>0.0</v>
      </c>
      <c r="S50" s="4">
        <v>0.0</v>
      </c>
      <c r="T50" s="4">
        <v>0.0</v>
      </c>
      <c r="U50" s="4">
        <v>0.0</v>
      </c>
      <c r="V50" s="4" t="s">
        <v>24</v>
      </c>
    </row>
    <row r="51">
      <c r="A51" s="11">
        <v>45782.0</v>
      </c>
      <c r="B51" s="7">
        <v>1.7174024E7</v>
      </c>
      <c r="C51" s="7" t="s">
        <v>23</v>
      </c>
      <c r="D51" s="8">
        <f>+5566999943102</f>
        <v>5566999943102</v>
      </c>
      <c r="E51" s="7">
        <v>1.0</v>
      </c>
      <c r="F51" s="7">
        <v>1.0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1.0</v>
      </c>
      <c r="O51" s="7">
        <v>0.0</v>
      </c>
      <c r="P51" s="7">
        <v>1.0</v>
      </c>
      <c r="Q51" s="7" t="s">
        <v>51</v>
      </c>
      <c r="R51" s="7">
        <v>0.0</v>
      </c>
      <c r="S51" s="7">
        <v>0.0</v>
      </c>
      <c r="T51" s="7">
        <v>0.0</v>
      </c>
      <c r="U51" s="7">
        <v>0.0</v>
      </c>
      <c r="V51" s="7" t="s">
        <v>24</v>
      </c>
    </row>
    <row r="52">
      <c r="A52" s="11">
        <v>45782.0</v>
      </c>
      <c r="B52" s="4">
        <v>1.7147322E7</v>
      </c>
      <c r="C52" s="4" t="s">
        <v>52</v>
      </c>
      <c r="D52" s="5">
        <f>+5566992007107</f>
        <v>5566992007107</v>
      </c>
      <c r="E52" s="4">
        <v>3.0</v>
      </c>
      <c r="F52" s="4">
        <v>3.0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1.0</v>
      </c>
      <c r="O52" s="4">
        <v>1.0</v>
      </c>
      <c r="P52" s="4">
        <v>1.0</v>
      </c>
      <c r="Q52" s="4" t="s">
        <v>48</v>
      </c>
      <c r="R52" s="4">
        <v>0.0</v>
      </c>
      <c r="S52" s="4">
        <v>0.0</v>
      </c>
      <c r="T52" s="4">
        <v>0.0</v>
      </c>
      <c r="U52" s="4">
        <v>0.0</v>
      </c>
      <c r="V52" s="4" t="s">
        <v>24</v>
      </c>
    </row>
    <row r="53">
      <c r="A53" s="11">
        <v>45783.0</v>
      </c>
      <c r="B53" s="4">
        <v>1.7174024E7</v>
      </c>
      <c r="C53" s="4" t="s">
        <v>23</v>
      </c>
      <c r="D53" s="5">
        <f>+5566999943102</f>
        <v>5566999943102</v>
      </c>
      <c r="E53" s="4">
        <v>4.0</v>
      </c>
      <c r="F53" s="4">
        <v>4.0</v>
      </c>
      <c r="G53" s="4">
        <v>0.0</v>
      </c>
      <c r="H53" s="4">
        <v>0.0</v>
      </c>
      <c r="I53" s="4">
        <v>0.0</v>
      </c>
      <c r="J53" s="4">
        <v>1.0</v>
      </c>
      <c r="K53" s="4">
        <v>1.0</v>
      </c>
      <c r="L53" s="4">
        <v>0.0</v>
      </c>
      <c r="M53" s="4">
        <v>0.0</v>
      </c>
      <c r="N53" s="4">
        <v>0.0</v>
      </c>
      <c r="O53" s="4">
        <v>0.0</v>
      </c>
      <c r="P53" s="4">
        <v>1.0</v>
      </c>
      <c r="Q53" s="6">
        <v>45792.0</v>
      </c>
      <c r="R53" s="4">
        <v>0.0</v>
      </c>
      <c r="S53" s="4">
        <v>0.0</v>
      </c>
      <c r="T53" s="4">
        <v>0.0</v>
      </c>
      <c r="U53" s="4">
        <v>0.0</v>
      </c>
      <c r="V53" s="4" t="s">
        <v>24</v>
      </c>
    </row>
    <row r="54">
      <c r="A54" s="14">
        <v>45783.0</v>
      </c>
      <c r="B54" s="7">
        <v>1.7116809E7</v>
      </c>
      <c r="C54" s="7" t="s">
        <v>25</v>
      </c>
      <c r="D54" s="8">
        <f>+5566996708347</f>
        <v>5566996708347</v>
      </c>
      <c r="E54" s="7">
        <v>4.0</v>
      </c>
      <c r="F54" s="7">
        <v>4.0</v>
      </c>
      <c r="G54" s="7">
        <v>1.0</v>
      </c>
      <c r="H54" s="7">
        <v>1.0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1.0</v>
      </c>
      <c r="Q54" s="7" t="s">
        <v>30</v>
      </c>
      <c r="R54" s="7">
        <v>0.0</v>
      </c>
      <c r="S54" s="7">
        <v>0.0</v>
      </c>
      <c r="T54" s="7">
        <v>0.0</v>
      </c>
      <c r="U54" s="7">
        <v>0.0</v>
      </c>
      <c r="V54" s="7" t="s">
        <v>24</v>
      </c>
    </row>
    <row r="55">
      <c r="A55" s="11">
        <v>45783.0</v>
      </c>
      <c r="B55" s="4">
        <v>1.7109343E7</v>
      </c>
      <c r="C55" s="4" t="s">
        <v>31</v>
      </c>
      <c r="D55" s="5">
        <f>+5566996035167</f>
        <v>5566996035167</v>
      </c>
      <c r="E55" s="4">
        <v>4.0</v>
      </c>
      <c r="F55" s="4">
        <v>4.0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1.0</v>
      </c>
      <c r="Q55" s="4" t="s">
        <v>53</v>
      </c>
      <c r="R55" s="4">
        <v>0.0</v>
      </c>
      <c r="S55" s="4">
        <v>0.0</v>
      </c>
      <c r="T55" s="4">
        <v>0.0</v>
      </c>
      <c r="U55" s="4">
        <v>0.0</v>
      </c>
      <c r="V55" s="4" t="s">
        <v>24</v>
      </c>
    </row>
    <row r="56">
      <c r="A56" s="11">
        <v>45784.0</v>
      </c>
      <c r="B56" s="4">
        <v>1.7174024E7</v>
      </c>
      <c r="C56" s="4" t="s">
        <v>23</v>
      </c>
      <c r="D56" s="5">
        <f t="shared" ref="D56:D57" si="5">+5566999943102</f>
        <v>5566999943102</v>
      </c>
      <c r="E56" s="4">
        <v>1.0</v>
      </c>
      <c r="F56" s="4">
        <v>1.0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1.0</v>
      </c>
      <c r="O56" s="4">
        <v>0.0</v>
      </c>
      <c r="P56" s="4">
        <v>1.0</v>
      </c>
      <c r="Q56" s="4" t="s">
        <v>43</v>
      </c>
      <c r="R56" s="4">
        <v>0.0</v>
      </c>
      <c r="S56" s="4">
        <v>0.0</v>
      </c>
      <c r="T56" s="4">
        <v>0.0</v>
      </c>
      <c r="U56" s="4">
        <v>0.0</v>
      </c>
      <c r="V56" s="4" t="s">
        <v>24</v>
      </c>
    </row>
    <row r="57">
      <c r="A57" s="11">
        <v>45785.0</v>
      </c>
      <c r="B57" s="4">
        <v>1.7174024E7</v>
      </c>
      <c r="C57" s="4" t="s">
        <v>23</v>
      </c>
      <c r="D57" s="5">
        <f t="shared" si="5"/>
        <v>5566999943102</v>
      </c>
      <c r="E57" s="4">
        <v>1.0</v>
      </c>
      <c r="F57" s="4">
        <v>1.0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1.0</v>
      </c>
      <c r="O57" s="4">
        <v>0.0</v>
      </c>
      <c r="P57" s="4">
        <v>1.0</v>
      </c>
      <c r="Q57" s="4" t="s">
        <v>54</v>
      </c>
      <c r="R57" s="4">
        <v>0.0</v>
      </c>
      <c r="S57" s="4">
        <v>0.0</v>
      </c>
      <c r="T57" s="4">
        <v>0.0</v>
      </c>
      <c r="U57" s="4">
        <v>0.0</v>
      </c>
      <c r="V57" s="4" t="s">
        <v>24</v>
      </c>
    </row>
    <row r="58">
      <c r="A58" s="11">
        <v>45785.0</v>
      </c>
      <c r="B58" s="7">
        <v>1.7109343E7</v>
      </c>
      <c r="C58" s="7" t="s">
        <v>31</v>
      </c>
      <c r="D58" s="8">
        <f>+5566996035167</f>
        <v>5566996035167</v>
      </c>
      <c r="E58" s="7">
        <v>1.0</v>
      </c>
      <c r="F58" s="7">
        <v>1.0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>
        <v>1.0</v>
      </c>
      <c r="Q58" s="7">
        <v>17.0</v>
      </c>
      <c r="R58" s="7">
        <v>0.0</v>
      </c>
      <c r="S58" s="7">
        <v>0.0</v>
      </c>
      <c r="T58" s="7">
        <v>0.0</v>
      </c>
      <c r="U58" s="7">
        <v>0.0</v>
      </c>
      <c r="V58" s="7" t="s">
        <v>24</v>
      </c>
    </row>
    <row r="59">
      <c r="A59" s="11">
        <v>45786.0</v>
      </c>
      <c r="B59" s="4">
        <v>1.7291892E7</v>
      </c>
      <c r="C59" s="4" t="s">
        <v>50</v>
      </c>
      <c r="D59" s="5">
        <f>+5566999146788</f>
        <v>5566999146788</v>
      </c>
      <c r="E59" s="4">
        <v>1.0</v>
      </c>
      <c r="F59" s="4">
        <v>1.0</v>
      </c>
      <c r="G59" s="4">
        <v>0.0</v>
      </c>
      <c r="H59" s="4">
        <v>0.0</v>
      </c>
      <c r="I59" s="4">
        <v>0.0</v>
      </c>
      <c r="J59" s="4">
        <v>1.0</v>
      </c>
      <c r="K59" s="4">
        <v>1.0</v>
      </c>
      <c r="L59" s="4">
        <v>0.0</v>
      </c>
      <c r="M59" s="4">
        <v>0.0</v>
      </c>
      <c r="N59" s="4">
        <v>0.0</v>
      </c>
      <c r="O59" s="4">
        <v>0.0</v>
      </c>
      <c r="P59" s="4">
        <v>1.0</v>
      </c>
      <c r="Q59" s="6">
        <v>45800.0</v>
      </c>
      <c r="R59" s="4">
        <v>0.0</v>
      </c>
      <c r="S59" s="4">
        <v>0.0</v>
      </c>
      <c r="T59" s="4">
        <v>0.0</v>
      </c>
      <c r="U59" s="4">
        <v>0.0</v>
      </c>
      <c r="V59" s="4" t="s">
        <v>24</v>
      </c>
    </row>
    <row r="60">
      <c r="A60" s="11">
        <v>45786.0</v>
      </c>
      <c r="B60" s="7">
        <v>1.7177142E7</v>
      </c>
      <c r="C60" s="7" t="s">
        <v>38</v>
      </c>
      <c r="D60" s="8">
        <f>+5566996954849</f>
        <v>5566996954849</v>
      </c>
      <c r="E60" s="7">
        <v>1.0</v>
      </c>
      <c r="F60" s="7">
        <v>1.0</v>
      </c>
      <c r="G60" s="7">
        <v>0.0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0.0</v>
      </c>
      <c r="N60" s="7">
        <v>0.0</v>
      </c>
      <c r="O60" s="7">
        <v>0.0</v>
      </c>
      <c r="P60" s="7">
        <v>1.0</v>
      </c>
      <c r="Q60" s="7" t="s">
        <v>55</v>
      </c>
      <c r="R60" s="7">
        <v>0.0</v>
      </c>
      <c r="S60" s="7">
        <v>0.0</v>
      </c>
      <c r="T60" s="7">
        <v>0.0</v>
      </c>
      <c r="U60" s="7">
        <v>0.0</v>
      </c>
      <c r="V60" s="7" t="s">
        <v>24</v>
      </c>
    </row>
    <row r="61">
      <c r="A61" s="11">
        <v>45786.0</v>
      </c>
      <c r="B61" s="4">
        <v>1.7174024E7</v>
      </c>
      <c r="C61" s="4" t="s">
        <v>23</v>
      </c>
      <c r="D61" s="5">
        <f>+5566999943102</f>
        <v>5566999943102</v>
      </c>
      <c r="E61" s="4">
        <v>1.0</v>
      </c>
      <c r="F61" s="4">
        <v>1.0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1.0</v>
      </c>
      <c r="Q61" s="4" t="s">
        <v>43</v>
      </c>
      <c r="R61" s="4">
        <v>0.0</v>
      </c>
      <c r="S61" s="4">
        <v>0.0</v>
      </c>
      <c r="T61" s="4">
        <v>0.0</v>
      </c>
      <c r="U61" s="4">
        <v>0.0</v>
      </c>
      <c r="V61" s="4" t="s">
        <v>24</v>
      </c>
    </row>
    <row r="62">
      <c r="A62" s="11">
        <v>45786.0</v>
      </c>
      <c r="B62" s="7">
        <v>1.7116809E7</v>
      </c>
      <c r="C62" s="7" t="s">
        <v>25</v>
      </c>
      <c r="D62" s="8">
        <f>+5566996708347</f>
        <v>5566996708347</v>
      </c>
      <c r="E62" s="7">
        <v>1.0</v>
      </c>
      <c r="F62" s="7">
        <v>1.0</v>
      </c>
      <c r="G62" s="7">
        <v>0.0</v>
      </c>
      <c r="H62" s="7">
        <v>0.0</v>
      </c>
      <c r="I62" s="7">
        <v>0.0</v>
      </c>
      <c r="J62" s="7">
        <v>1.0</v>
      </c>
      <c r="K62" s="7">
        <v>1.0</v>
      </c>
      <c r="L62" s="7">
        <v>0.0</v>
      </c>
      <c r="M62" s="7">
        <v>0.0</v>
      </c>
      <c r="N62" s="7">
        <v>0.0</v>
      </c>
      <c r="O62" s="7">
        <v>0.0</v>
      </c>
      <c r="P62" s="7">
        <v>1.0</v>
      </c>
      <c r="Q62" s="9">
        <v>45800.0</v>
      </c>
      <c r="R62" s="7">
        <v>0.0</v>
      </c>
      <c r="S62" s="7">
        <v>0.0</v>
      </c>
      <c r="T62" s="7">
        <v>0.0</v>
      </c>
      <c r="U62" s="7">
        <v>0.0</v>
      </c>
      <c r="V62" s="7" t="s">
        <v>24</v>
      </c>
    </row>
    <row r="63">
      <c r="A63" s="11">
        <v>45786.0</v>
      </c>
      <c r="B63" s="4">
        <v>1.7109343E7</v>
      </c>
      <c r="C63" s="4" t="s">
        <v>31</v>
      </c>
      <c r="D63" s="5">
        <f>+5566996035167</f>
        <v>5566996035167</v>
      </c>
      <c r="E63" s="4">
        <v>2.0</v>
      </c>
      <c r="F63" s="4">
        <v>2.0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1.0</v>
      </c>
      <c r="N63" s="4">
        <v>0.0</v>
      </c>
      <c r="O63" s="4">
        <v>1.0</v>
      </c>
      <c r="P63" s="4">
        <v>1.0</v>
      </c>
      <c r="Q63" s="4" t="s">
        <v>56</v>
      </c>
      <c r="R63" s="4">
        <v>0.0</v>
      </c>
      <c r="S63" s="4">
        <v>0.0</v>
      </c>
      <c r="T63" s="4">
        <v>0.0</v>
      </c>
      <c r="U63" s="4">
        <v>0.0</v>
      </c>
      <c r="V63" s="4" t="s">
        <v>24</v>
      </c>
    </row>
    <row r="64">
      <c r="A64" s="11">
        <v>45786.0</v>
      </c>
      <c r="B64" s="7">
        <v>1.6263441E7</v>
      </c>
      <c r="C64" s="7" t="s">
        <v>36</v>
      </c>
      <c r="D64" s="8">
        <f>+5566996115789</f>
        <v>5566996115789</v>
      </c>
      <c r="E64" s="7">
        <v>1.0</v>
      </c>
      <c r="F64" s="7">
        <v>1.0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  <c r="N64" s="7">
        <v>0.0</v>
      </c>
      <c r="O64" s="7">
        <v>0.0</v>
      </c>
      <c r="P64" s="7">
        <v>1.0</v>
      </c>
      <c r="Q64" s="7" t="s">
        <v>57</v>
      </c>
      <c r="R64" s="7">
        <v>0.0</v>
      </c>
      <c r="S64" s="7">
        <v>0.0</v>
      </c>
      <c r="T64" s="7">
        <v>0.0</v>
      </c>
      <c r="U64" s="7">
        <v>0.0</v>
      </c>
      <c r="V64" s="7" t="s">
        <v>24</v>
      </c>
    </row>
    <row r="65">
      <c r="A65" s="11">
        <v>45787.0</v>
      </c>
      <c r="B65" s="4">
        <v>1.7177142E7</v>
      </c>
      <c r="C65" s="4" t="s">
        <v>38</v>
      </c>
      <c r="D65" s="5">
        <f>+5566996954849</f>
        <v>5566996954849</v>
      </c>
      <c r="E65" s="4">
        <v>2.0</v>
      </c>
      <c r="F65" s="4">
        <v>1.0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1.0</v>
      </c>
      <c r="P65" s="4">
        <v>1.0</v>
      </c>
      <c r="Q65" s="4" t="s">
        <v>58</v>
      </c>
      <c r="R65" s="4">
        <v>0.0</v>
      </c>
      <c r="S65" s="4">
        <v>0.0</v>
      </c>
      <c r="T65" s="4">
        <v>0.0</v>
      </c>
      <c r="U65" s="4">
        <v>0.0</v>
      </c>
      <c r="V65" s="4" t="s">
        <v>24</v>
      </c>
    </row>
    <row r="66">
      <c r="A66" s="11">
        <v>45787.0</v>
      </c>
      <c r="B66" s="7">
        <v>1.7174024E7</v>
      </c>
      <c r="C66" s="7" t="s">
        <v>23</v>
      </c>
      <c r="D66" s="8">
        <f>+5566999943102</f>
        <v>5566999943102</v>
      </c>
      <c r="E66" s="7">
        <v>1.0</v>
      </c>
      <c r="F66" s="7">
        <v>1.0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1.0</v>
      </c>
      <c r="O66" s="7">
        <v>0.0</v>
      </c>
      <c r="P66" s="7">
        <v>1.0</v>
      </c>
      <c r="Q66" s="7" t="s">
        <v>59</v>
      </c>
      <c r="R66" s="7">
        <v>0.0</v>
      </c>
      <c r="S66" s="7">
        <v>0.0</v>
      </c>
      <c r="T66" s="7">
        <v>0.0</v>
      </c>
      <c r="U66" s="7">
        <v>0.0</v>
      </c>
      <c r="V66" s="7" t="s">
        <v>24</v>
      </c>
    </row>
    <row r="67">
      <c r="A67" s="11">
        <v>45787.0</v>
      </c>
      <c r="B67" s="4">
        <v>1.7109343E7</v>
      </c>
      <c r="C67" s="4" t="s">
        <v>31</v>
      </c>
      <c r="D67" s="5">
        <f>+5566996035167</f>
        <v>5566996035167</v>
      </c>
      <c r="E67" s="4">
        <v>2.0</v>
      </c>
      <c r="F67" s="4">
        <v>2.0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1.0</v>
      </c>
      <c r="N67" s="4">
        <v>1.0</v>
      </c>
      <c r="O67" s="4">
        <v>1.0</v>
      </c>
      <c r="P67" s="4">
        <v>1.0</v>
      </c>
      <c r="Q67" s="6">
        <v>45793.0</v>
      </c>
      <c r="R67" s="4">
        <v>0.0</v>
      </c>
      <c r="S67" s="4">
        <v>0.0</v>
      </c>
      <c r="T67" s="4">
        <v>0.0</v>
      </c>
      <c r="U67" s="4">
        <v>0.0</v>
      </c>
      <c r="V67" s="4" t="s">
        <v>24</v>
      </c>
    </row>
    <row r="68">
      <c r="A68" s="11">
        <v>45787.0</v>
      </c>
      <c r="B68" s="7">
        <v>1.6263441E7</v>
      </c>
      <c r="C68" s="7" t="s">
        <v>36</v>
      </c>
      <c r="D68" s="8">
        <f>+5566996115789</f>
        <v>5566996115789</v>
      </c>
      <c r="E68" s="7">
        <v>3.0</v>
      </c>
      <c r="F68" s="7">
        <v>3.0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  <c r="M68" s="7">
        <v>0.0</v>
      </c>
      <c r="N68" s="7">
        <v>0.0</v>
      </c>
      <c r="O68" s="7">
        <v>2.0</v>
      </c>
      <c r="P68" s="7">
        <v>1.0</v>
      </c>
      <c r="Q68" s="9">
        <v>45799.0</v>
      </c>
      <c r="R68" s="7">
        <v>0.0</v>
      </c>
      <c r="S68" s="7">
        <v>0.0</v>
      </c>
      <c r="T68" s="7">
        <v>0.0</v>
      </c>
      <c r="U68" s="7">
        <v>0.0</v>
      </c>
      <c r="V68" s="7" t="s">
        <v>24</v>
      </c>
    </row>
    <row r="69">
      <c r="A69" s="11">
        <v>45788.0</v>
      </c>
      <c r="B69" s="4">
        <v>1.720766E7</v>
      </c>
      <c r="C69" s="4" t="s">
        <v>60</v>
      </c>
      <c r="D69" s="5">
        <f>+5566996417504</f>
        <v>5566996417504</v>
      </c>
      <c r="E69" s="4">
        <v>1.0</v>
      </c>
      <c r="F69" s="4">
        <v>1.0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1.0</v>
      </c>
      <c r="P69" s="4">
        <v>1.0</v>
      </c>
      <c r="Q69" s="6">
        <v>45800.0</v>
      </c>
      <c r="R69" s="4">
        <v>0.0</v>
      </c>
      <c r="S69" s="4">
        <v>0.0</v>
      </c>
      <c r="T69" s="4">
        <v>0.0</v>
      </c>
      <c r="U69" s="4">
        <v>0.0</v>
      </c>
      <c r="V69" s="4" t="s">
        <v>24</v>
      </c>
    </row>
    <row r="70">
      <c r="A70" s="11">
        <v>45788.0</v>
      </c>
      <c r="B70" s="7">
        <v>1.7177142E7</v>
      </c>
      <c r="C70" s="7" t="s">
        <v>38</v>
      </c>
      <c r="D70" s="8">
        <f>+5566996954849</f>
        <v>5566996954849</v>
      </c>
      <c r="E70" s="7">
        <v>1.0</v>
      </c>
      <c r="F70" s="7">
        <v>1.0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0.0</v>
      </c>
      <c r="M70" s="7">
        <v>0.0</v>
      </c>
      <c r="N70" s="7">
        <v>0.0</v>
      </c>
      <c r="O70" s="7">
        <v>1.0</v>
      </c>
      <c r="P70" s="7">
        <v>1.0</v>
      </c>
      <c r="Q70" s="7" t="s">
        <v>43</v>
      </c>
      <c r="R70" s="7">
        <v>0.0</v>
      </c>
      <c r="S70" s="7">
        <v>0.0</v>
      </c>
      <c r="T70" s="7">
        <v>0.0</v>
      </c>
      <c r="U70" s="7">
        <v>0.0</v>
      </c>
      <c r="V70" s="7" t="s">
        <v>24</v>
      </c>
    </row>
    <row r="71">
      <c r="A71" s="11">
        <v>45788.0</v>
      </c>
      <c r="B71" s="4">
        <v>1.7109343E7</v>
      </c>
      <c r="C71" s="4" t="s">
        <v>31</v>
      </c>
      <c r="D71" s="5">
        <f>+5566996035167</f>
        <v>5566996035167</v>
      </c>
      <c r="E71" s="4">
        <v>1.0</v>
      </c>
      <c r="F71" s="4">
        <v>1.0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1.0</v>
      </c>
      <c r="P71" s="4">
        <v>1.0</v>
      </c>
      <c r="Q71" s="4" t="s">
        <v>53</v>
      </c>
      <c r="R71" s="4">
        <v>0.0</v>
      </c>
      <c r="S71" s="4">
        <v>0.0</v>
      </c>
      <c r="T71" s="4">
        <v>0.0</v>
      </c>
      <c r="U71" s="4">
        <v>0.0</v>
      </c>
      <c r="V71" s="4" t="s">
        <v>24</v>
      </c>
    </row>
    <row r="72">
      <c r="A72" s="11">
        <v>45789.0</v>
      </c>
      <c r="B72" s="4">
        <v>1.7177142E7</v>
      </c>
      <c r="C72" s="4" t="s">
        <v>38</v>
      </c>
      <c r="D72" s="5">
        <f>+5566996954849</f>
        <v>5566996954849</v>
      </c>
      <c r="E72" s="4">
        <v>1.0</v>
      </c>
      <c r="F72" s="4">
        <v>1.0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 t="s">
        <v>59</v>
      </c>
      <c r="R72" s="4">
        <v>0.0</v>
      </c>
      <c r="S72" s="4">
        <v>0.0</v>
      </c>
      <c r="T72" s="4">
        <v>0.0</v>
      </c>
      <c r="U72" s="4">
        <v>0.0</v>
      </c>
      <c r="V72" s="4" t="s">
        <v>24</v>
      </c>
    </row>
    <row r="73">
      <c r="A73" s="11">
        <v>45789.0</v>
      </c>
      <c r="B73" s="4">
        <v>1.7116809E7</v>
      </c>
      <c r="C73" s="4" t="s">
        <v>25</v>
      </c>
      <c r="D73" s="5">
        <f>+5566996708347</f>
        <v>5566996708347</v>
      </c>
      <c r="E73" s="4">
        <v>4.0</v>
      </c>
      <c r="F73" s="4">
        <v>4.0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2.0</v>
      </c>
      <c r="P73" s="4">
        <v>1.0</v>
      </c>
      <c r="Q73" s="6">
        <v>45797.0</v>
      </c>
      <c r="R73" s="4">
        <v>0.0</v>
      </c>
      <c r="S73" s="4">
        <v>0.0</v>
      </c>
      <c r="T73" s="4">
        <v>0.0</v>
      </c>
      <c r="U73" s="4">
        <v>0.0</v>
      </c>
      <c r="V73" s="4" t="s">
        <v>24</v>
      </c>
    </row>
    <row r="74">
      <c r="A74" s="11">
        <v>45789.0</v>
      </c>
      <c r="B74" s="7">
        <v>1.7109343E7</v>
      </c>
      <c r="C74" s="7" t="s">
        <v>31</v>
      </c>
      <c r="D74" s="8">
        <f>+5566996035167</f>
        <v>5566996035167</v>
      </c>
      <c r="E74" s="7">
        <v>5.0</v>
      </c>
      <c r="F74" s="7">
        <v>5.0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0.0</v>
      </c>
      <c r="M74" s="7">
        <v>0.0</v>
      </c>
      <c r="N74" s="7">
        <v>0.0</v>
      </c>
      <c r="O74" s="7">
        <v>3.0</v>
      </c>
      <c r="P74" s="7">
        <v>1.0</v>
      </c>
      <c r="Q74" s="9">
        <v>45790.0</v>
      </c>
      <c r="R74" s="7">
        <v>0.0</v>
      </c>
      <c r="S74" s="7">
        <v>0.0</v>
      </c>
      <c r="T74" s="7">
        <v>0.0</v>
      </c>
      <c r="U74" s="7">
        <v>0.0</v>
      </c>
      <c r="V74" s="7" t="s">
        <v>24</v>
      </c>
    </row>
    <row r="75">
      <c r="A75" s="11">
        <v>45789.0</v>
      </c>
      <c r="B75" s="4">
        <v>1.7089446E7</v>
      </c>
      <c r="C75" s="4" t="s">
        <v>35</v>
      </c>
      <c r="D75" s="5">
        <f>+5566999810552</f>
        <v>5566999810552</v>
      </c>
      <c r="E75" s="4">
        <v>1.0</v>
      </c>
      <c r="F75" s="4">
        <v>1.0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 t="s">
        <v>61</v>
      </c>
      <c r="R75" s="4">
        <v>0.0</v>
      </c>
      <c r="S75" s="4">
        <v>0.0</v>
      </c>
      <c r="T75" s="4">
        <v>0.0</v>
      </c>
      <c r="U75" s="4">
        <v>0.0</v>
      </c>
      <c r="V75" s="4" t="s">
        <v>24</v>
      </c>
    </row>
    <row r="76">
      <c r="A76" s="11">
        <v>45789.0</v>
      </c>
      <c r="B76" s="7">
        <v>1.6263441E7</v>
      </c>
      <c r="C76" s="7" t="s">
        <v>36</v>
      </c>
      <c r="D76" s="8">
        <f>+5566996115789</f>
        <v>5566996115789</v>
      </c>
      <c r="E76" s="7">
        <v>1.0</v>
      </c>
      <c r="F76" s="7">
        <v>1.0</v>
      </c>
      <c r="G76" s="7">
        <v>0.0</v>
      </c>
      <c r="H76" s="7">
        <v>0.0</v>
      </c>
      <c r="I76" s="7">
        <v>0.0</v>
      </c>
      <c r="J76" s="7">
        <v>0.0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7">
        <v>1.0</v>
      </c>
      <c r="Q76" s="9">
        <v>45799.0</v>
      </c>
      <c r="R76" s="7">
        <v>0.0</v>
      </c>
      <c r="S76" s="7">
        <v>0.0</v>
      </c>
      <c r="T76" s="7">
        <v>0.0</v>
      </c>
      <c r="U76" s="7">
        <v>0.0</v>
      </c>
      <c r="V76" s="7" t="s">
        <v>24</v>
      </c>
    </row>
    <row r="77">
      <c r="A77" s="11">
        <v>45790.0</v>
      </c>
      <c r="B77" s="4">
        <v>1.7177142E7</v>
      </c>
      <c r="C77" s="4" t="s">
        <v>38</v>
      </c>
      <c r="D77" s="5">
        <f>+5566996954849</f>
        <v>5566996954849</v>
      </c>
      <c r="E77" s="4">
        <v>2.0</v>
      </c>
      <c r="F77" s="4">
        <v>2.0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1.0</v>
      </c>
      <c r="O77" s="4">
        <v>1.0</v>
      </c>
      <c r="P77" s="4">
        <v>1.0</v>
      </c>
      <c r="Q77" s="4" t="s">
        <v>40</v>
      </c>
      <c r="R77" s="4">
        <v>0.0</v>
      </c>
      <c r="S77" s="4">
        <v>0.0</v>
      </c>
      <c r="T77" s="4">
        <v>0.0</v>
      </c>
      <c r="U77" s="4">
        <v>0.0</v>
      </c>
      <c r="V77" s="4" t="s">
        <v>24</v>
      </c>
    </row>
    <row r="78">
      <c r="A78" s="11">
        <v>45790.0</v>
      </c>
      <c r="B78" s="7">
        <v>1.7174024E7</v>
      </c>
      <c r="C78" s="7" t="s">
        <v>23</v>
      </c>
      <c r="D78" s="8">
        <f>+5566999943102</f>
        <v>5566999943102</v>
      </c>
      <c r="E78" s="7">
        <v>1.0</v>
      </c>
      <c r="F78" s="7">
        <v>1.0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7">
        <v>0.0</v>
      </c>
      <c r="N78" s="7">
        <v>1.0</v>
      </c>
      <c r="O78" s="7">
        <v>0.0</v>
      </c>
      <c r="P78" s="7">
        <v>1.0</v>
      </c>
      <c r="Q78" s="7" t="s">
        <v>30</v>
      </c>
      <c r="R78" s="7">
        <v>0.0</v>
      </c>
      <c r="S78" s="7">
        <v>0.0</v>
      </c>
      <c r="T78" s="7">
        <v>0.0</v>
      </c>
      <c r="U78" s="7">
        <v>0.0</v>
      </c>
      <c r="V78" s="7" t="s">
        <v>24</v>
      </c>
    </row>
    <row r="79">
      <c r="A79" s="11">
        <v>45790.0</v>
      </c>
      <c r="B79" s="4">
        <v>1.7116809E7</v>
      </c>
      <c r="C79" s="4" t="s">
        <v>25</v>
      </c>
      <c r="D79" s="5">
        <f>+5566996708347</f>
        <v>5566996708347</v>
      </c>
      <c r="E79" s="4">
        <v>1.0</v>
      </c>
      <c r="F79" s="4">
        <v>1.0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1.0</v>
      </c>
      <c r="P79" s="4">
        <v>1.0</v>
      </c>
      <c r="Q79" s="6">
        <v>45795.0</v>
      </c>
      <c r="R79" s="4">
        <v>0.0</v>
      </c>
      <c r="S79" s="4">
        <v>0.0</v>
      </c>
      <c r="T79" s="4">
        <v>0.0</v>
      </c>
      <c r="U79" s="4">
        <v>0.0</v>
      </c>
      <c r="V79" s="4" t="s">
        <v>24</v>
      </c>
    </row>
    <row r="80">
      <c r="A80" s="11">
        <v>45790.0</v>
      </c>
      <c r="B80" s="7">
        <v>1.7109343E7</v>
      </c>
      <c r="C80" s="7" t="s">
        <v>31</v>
      </c>
      <c r="D80" s="8">
        <f>+5566996035167</f>
        <v>5566996035167</v>
      </c>
      <c r="E80" s="7">
        <v>1.0</v>
      </c>
      <c r="F80" s="7">
        <v>1.0</v>
      </c>
      <c r="G80" s="7">
        <v>0.0</v>
      </c>
      <c r="H80" s="7">
        <v>0.0</v>
      </c>
      <c r="I80" s="7">
        <v>0.0</v>
      </c>
      <c r="J80" s="7">
        <v>0.0</v>
      </c>
      <c r="K80" s="7">
        <v>0.0</v>
      </c>
      <c r="L80" s="7">
        <v>0.0</v>
      </c>
      <c r="M80" s="7">
        <v>0.0</v>
      </c>
      <c r="N80" s="7">
        <v>0.0</v>
      </c>
      <c r="O80" s="7">
        <v>1.0</v>
      </c>
      <c r="P80" s="7">
        <v>1.0</v>
      </c>
      <c r="Q80" s="7" t="s">
        <v>47</v>
      </c>
      <c r="R80" s="7">
        <v>0.0</v>
      </c>
      <c r="S80" s="7">
        <v>0.0</v>
      </c>
      <c r="T80" s="7">
        <v>0.0</v>
      </c>
      <c r="U80" s="7">
        <v>0.0</v>
      </c>
      <c r="V80" s="7" t="s">
        <v>24</v>
      </c>
    </row>
    <row r="81">
      <c r="A81" s="11">
        <v>45790.0</v>
      </c>
      <c r="B81" s="4">
        <v>1.6263441E7</v>
      </c>
      <c r="C81" s="4" t="s">
        <v>36</v>
      </c>
      <c r="D81" s="5">
        <f>+5566996115789</f>
        <v>5566996115789</v>
      </c>
      <c r="E81" s="4">
        <v>1.0</v>
      </c>
      <c r="F81" s="4">
        <v>1.0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1.0</v>
      </c>
      <c r="P81" s="4">
        <v>1.0</v>
      </c>
      <c r="Q81" s="4" t="s">
        <v>30</v>
      </c>
      <c r="R81" s="4">
        <v>0.0</v>
      </c>
      <c r="S81" s="4">
        <v>0.0</v>
      </c>
      <c r="T81" s="4">
        <v>0.0</v>
      </c>
      <c r="U81" s="4">
        <v>0.0</v>
      </c>
      <c r="V81" s="4" t="s">
        <v>24</v>
      </c>
    </row>
    <row r="82">
      <c r="A82" s="11">
        <v>45791.0</v>
      </c>
      <c r="B82" s="4">
        <v>1.7174024E7</v>
      </c>
      <c r="C82" s="4" t="s">
        <v>23</v>
      </c>
      <c r="D82" s="5">
        <f>+5566999943102</f>
        <v>5566999943102</v>
      </c>
      <c r="E82" s="4">
        <v>5.0</v>
      </c>
      <c r="F82" s="4">
        <v>5.0</v>
      </c>
      <c r="G82" s="4">
        <v>0.0</v>
      </c>
      <c r="H82" s="4">
        <v>0.0</v>
      </c>
      <c r="I82" s="4">
        <v>0.0</v>
      </c>
      <c r="J82" s="4">
        <v>1.0</v>
      </c>
      <c r="K82" s="4">
        <v>1.0</v>
      </c>
      <c r="L82" s="4">
        <v>0.0</v>
      </c>
      <c r="M82" s="4">
        <v>0.0</v>
      </c>
      <c r="N82" s="4">
        <v>1.0</v>
      </c>
      <c r="O82" s="4">
        <v>1.0</v>
      </c>
      <c r="P82" s="4">
        <v>1.0</v>
      </c>
      <c r="Q82" s="4" t="s">
        <v>62</v>
      </c>
      <c r="R82" s="4">
        <v>0.0</v>
      </c>
      <c r="S82" s="4">
        <v>0.0</v>
      </c>
      <c r="T82" s="4">
        <v>0.0</v>
      </c>
      <c r="U82" s="4">
        <v>0.0</v>
      </c>
      <c r="V82" s="4" t="s">
        <v>24</v>
      </c>
    </row>
    <row r="83">
      <c r="A83" s="11">
        <v>45791.0</v>
      </c>
      <c r="B83" s="7">
        <v>1.7116809E7</v>
      </c>
      <c r="C83" s="7" t="s">
        <v>25</v>
      </c>
      <c r="D83" s="8">
        <f>+5566996708347</f>
        <v>5566996708347</v>
      </c>
      <c r="E83" s="7">
        <v>3.0</v>
      </c>
      <c r="F83" s="7">
        <v>3.0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  <c r="O83" s="7">
        <v>1.0</v>
      </c>
      <c r="P83" s="7">
        <v>1.0</v>
      </c>
      <c r="Q83" s="7" t="s">
        <v>62</v>
      </c>
      <c r="R83" s="7">
        <v>0.0</v>
      </c>
      <c r="S83" s="7">
        <v>0.0</v>
      </c>
      <c r="T83" s="7">
        <v>0.0</v>
      </c>
      <c r="U83" s="7">
        <v>0.0</v>
      </c>
      <c r="V83" s="7" t="s">
        <v>24</v>
      </c>
    </row>
    <row r="84">
      <c r="A84" s="11">
        <v>45791.0</v>
      </c>
      <c r="B84" s="4">
        <v>1.7109343E7</v>
      </c>
      <c r="C84" s="4" t="s">
        <v>31</v>
      </c>
      <c r="D84" s="5">
        <f>+5566996035167</f>
        <v>5566996035167</v>
      </c>
      <c r="E84" s="4">
        <v>1.0</v>
      </c>
      <c r="F84" s="4">
        <v>1.0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1.0</v>
      </c>
      <c r="N84" s="4">
        <v>0.0</v>
      </c>
      <c r="O84" s="4">
        <v>1.0</v>
      </c>
      <c r="P84" s="4">
        <v>1.0</v>
      </c>
      <c r="Q84" s="6">
        <v>45798.0</v>
      </c>
      <c r="R84" s="4">
        <v>0.0</v>
      </c>
      <c r="S84" s="4">
        <v>0.0</v>
      </c>
      <c r="T84" s="4">
        <v>0.0</v>
      </c>
      <c r="U84" s="4">
        <v>0.0</v>
      </c>
      <c r="V84" s="4" t="s">
        <v>24</v>
      </c>
    </row>
    <row r="85">
      <c r="A85" s="11">
        <v>45792.0</v>
      </c>
      <c r="B85" s="4">
        <v>1.7174024E7</v>
      </c>
      <c r="C85" s="4" t="s">
        <v>23</v>
      </c>
      <c r="D85" s="5">
        <f t="shared" ref="D85:D86" si="6">+5566999943102</f>
        <v>5566999943102</v>
      </c>
      <c r="E85" s="4">
        <v>1.0</v>
      </c>
      <c r="F85" s="4">
        <v>1.0</v>
      </c>
      <c r="G85" s="4">
        <v>0.0</v>
      </c>
      <c r="H85" s="4">
        <v>0.0</v>
      </c>
      <c r="I85" s="4">
        <v>0.0</v>
      </c>
      <c r="J85" s="4">
        <v>1.0</v>
      </c>
      <c r="K85" s="4">
        <v>1.0</v>
      </c>
      <c r="L85" s="4">
        <v>0.0</v>
      </c>
      <c r="M85" s="4">
        <v>0.0</v>
      </c>
      <c r="N85" s="4">
        <v>0.0</v>
      </c>
      <c r="O85" s="4">
        <v>0.0</v>
      </c>
      <c r="P85" s="4">
        <v>1.0</v>
      </c>
      <c r="Q85" s="6">
        <v>45800.0</v>
      </c>
      <c r="R85" s="4">
        <v>0.0</v>
      </c>
      <c r="S85" s="4">
        <v>0.0</v>
      </c>
      <c r="T85" s="4">
        <v>0.0</v>
      </c>
      <c r="U85" s="4">
        <v>0.0</v>
      </c>
      <c r="V85" s="4" t="s">
        <v>24</v>
      </c>
    </row>
    <row r="86">
      <c r="A86" s="11">
        <v>45793.0</v>
      </c>
      <c r="B86" s="4">
        <v>1.7174024E7</v>
      </c>
      <c r="C86" s="4" t="s">
        <v>23</v>
      </c>
      <c r="D86" s="5">
        <f t="shared" si="6"/>
        <v>5566999943102</v>
      </c>
      <c r="E86" s="4">
        <v>1.0</v>
      </c>
      <c r="F86" s="4">
        <v>1.0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1.0</v>
      </c>
      <c r="O86" s="4">
        <v>0.0</v>
      </c>
      <c r="P86" s="4">
        <v>1.0</v>
      </c>
      <c r="Q86" s="4" t="s">
        <v>63</v>
      </c>
      <c r="R86" s="4">
        <v>0.0</v>
      </c>
      <c r="S86" s="4">
        <v>0.0</v>
      </c>
      <c r="T86" s="4">
        <v>0.0</v>
      </c>
      <c r="U86" s="4">
        <v>0.0</v>
      </c>
      <c r="V86" s="4" t="s">
        <v>24</v>
      </c>
    </row>
    <row r="87">
      <c r="A87" s="11">
        <v>45793.0</v>
      </c>
      <c r="B87" s="7">
        <v>1.7116809E7</v>
      </c>
      <c r="C87" s="7" t="s">
        <v>25</v>
      </c>
      <c r="D87" s="8">
        <f>+5566996708347</f>
        <v>5566996708347</v>
      </c>
      <c r="E87" s="7">
        <v>3.0</v>
      </c>
      <c r="F87" s="7">
        <v>3.0</v>
      </c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0.0</v>
      </c>
      <c r="M87" s="7">
        <v>0.0</v>
      </c>
      <c r="N87" s="7">
        <v>0.0</v>
      </c>
      <c r="O87" s="7">
        <v>1.0</v>
      </c>
      <c r="P87" s="7">
        <v>1.0</v>
      </c>
      <c r="Q87" s="7">
        <v>23.0</v>
      </c>
      <c r="R87" s="7">
        <v>0.0</v>
      </c>
      <c r="S87" s="7">
        <v>0.0</v>
      </c>
      <c r="T87" s="7">
        <v>0.0</v>
      </c>
      <c r="U87" s="7">
        <v>0.0</v>
      </c>
      <c r="V87" s="7" t="s">
        <v>24</v>
      </c>
    </row>
    <row r="88">
      <c r="A88" s="11">
        <v>45794.0</v>
      </c>
      <c r="B88" s="4">
        <v>1.6263441E7</v>
      </c>
      <c r="C88" s="4" t="s">
        <v>36</v>
      </c>
      <c r="D88" s="5">
        <f>+5566996115789</f>
        <v>5566996115789</v>
      </c>
      <c r="E88" s="4">
        <v>3.0</v>
      </c>
      <c r="F88" s="4">
        <v>3.0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2.0</v>
      </c>
      <c r="P88" s="4">
        <v>1.0</v>
      </c>
      <c r="Q88" s="4">
        <v>20.0</v>
      </c>
      <c r="R88" s="4">
        <v>0.0</v>
      </c>
      <c r="S88" s="4">
        <v>0.0</v>
      </c>
      <c r="T88" s="4">
        <v>0.0</v>
      </c>
      <c r="U88" s="4">
        <v>0.0</v>
      </c>
      <c r="V88" s="4" t="s">
        <v>24</v>
      </c>
    </row>
    <row r="89">
      <c r="A89" s="11">
        <v>45795.0</v>
      </c>
      <c r="B89" s="4">
        <v>1.7116809E7</v>
      </c>
      <c r="C89" s="4" t="s">
        <v>25</v>
      </c>
      <c r="D89" s="5">
        <f t="shared" ref="D89:D90" si="7">+5566996708347</f>
        <v>5566996708347</v>
      </c>
      <c r="E89" s="4">
        <v>4.0</v>
      </c>
      <c r="F89" s="4">
        <v>4.0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1.0</v>
      </c>
      <c r="Q89" s="4" t="s">
        <v>63</v>
      </c>
      <c r="R89" s="4">
        <v>0.0</v>
      </c>
      <c r="S89" s="4">
        <v>0.0</v>
      </c>
      <c r="T89" s="4">
        <v>0.0</v>
      </c>
      <c r="U89" s="4">
        <v>0.0</v>
      </c>
      <c r="V89" s="4" t="s">
        <v>24</v>
      </c>
    </row>
    <row r="90">
      <c r="A90" s="11">
        <v>45796.0</v>
      </c>
      <c r="B90" s="4">
        <v>1.7116809E7</v>
      </c>
      <c r="C90" s="4" t="s">
        <v>25</v>
      </c>
      <c r="D90" s="5">
        <f t="shared" si="7"/>
        <v>5566996708347</v>
      </c>
      <c r="E90" s="4">
        <v>3.0</v>
      </c>
      <c r="F90" s="4">
        <v>1.0</v>
      </c>
      <c r="G90" s="4">
        <v>1.0</v>
      </c>
      <c r="H90" s="4">
        <v>1.0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2.0</v>
      </c>
      <c r="P90" s="4">
        <v>1.0</v>
      </c>
      <c r="Q90" s="4" t="s">
        <v>54</v>
      </c>
      <c r="R90" s="4">
        <v>0.0</v>
      </c>
      <c r="S90" s="4">
        <v>0.0</v>
      </c>
      <c r="T90" s="4">
        <v>0.0</v>
      </c>
      <c r="U90" s="4">
        <v>0.0</v>
      </c>
      <c r="V90" s="4" t="s">
        <v>24</v>
      </c>
    </row>
    <row r="91">
      <c r="A91" s="11">
        <v>45796.0</v>
      </c>
      <c r="B91" s="7">
        <v>1.7109343E7</v>
      </c>
      <c r="C91" s="7" t="s">
        <v>31</v>
      </c>
      <c r="D91" s="8">
        <f>+5566996035167</f>
        <v>5566996035167</v>
      </c>
      <c r="E91" s="7">
        <v>2.0</v>
      </c>
      <c r="F91" s="7">
        <v>2.0</v>
      </c>
      <c r="G91" s="7">
        <v>0.0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7">
        <v>0.0</v>
      </c>
      <c r="N91" s="7">
        <v>0.0</v>
      </c>
      <c r="O91" s="7">
        <v>2.0</v>
      </c>
      <c r="P91" s="7">
        <v>1.0</v>
      </c>
      <c r="Q91" s="7" t="s">
        <v>64</v>
      </c>
      <c r="R91" s="7">
        <v>0.0</v>
      </c>
      <c r="S91" s="7">
        <v>0.0</v>
      </c>
      <c r="T91" s="7">
        <v>0.0</v>
      </c>
      <c r="U91" s="7">
        <v>0.0</v>
      </c>
      <c r="V91" s="7" t="s">
        <v>24</v>
      </c>
    </row>
    <row r="92">
      <c r="A92" s="11">
        <v>45797.0</v>
      </c>
      <c r="B92" s="4">
        <v>1.7147322E7</v>
      </c>
      <c r="C92" s="4" t="s">
        <v>52</v>
      </c>
      <c r="D92" s="5">
        <f>+5566992007107</f>
        <v>5566992007107</v>
      </c>
      <c r="E92" s="4">
        <v>2.0</v>
      </c>
      <c r="F92" s="4">
        <v>2.0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2.0</v>
      </c>
      <c r="O92" s="4">
        <v>0.0</v>
      </c>
      <c r="P92" s="4">
        <v>1.0</v>
      </c>
      <c r="Q92" s="4" t="s">
        <v>65</v>
      </c>
      <c r="R92" s="4">
        <v>0.0</v>
      </c>
      <c r="S92" s="4">
        <v>0.0</v>
      </c>
      <c r="T92" s="4">
        <v>0.0</v>
      </c>
      <c r="U92" s="4">
        <v>0.0</v>
      </c>
      <c r="V92" s="4" t="s">
        <v>24</v>
      </c>
    </row>
    <row r="93">
      <c r="A93" s="11">
        <v>45797.0</v>
      </c>
      <c r="B93" s="7">
        <v>1.6263441E7</v>
      </c>
      <c r="C93" s="7" t="s">
        <v>36</v>
      </c>
      <c r="D93" s="8">
        <f>+5566996115789</f>
        <v>5566996115789</v>
      </c>
      <c r="E93" s="7">
        <v>1.0</v>
      </c>
      <c r="F93" s="7">
        <v>1.0</v>
      </c>
      <c r="G93" s="7">
        <v>0.0</v>
      </c>
      <c r="H93" s="7">
        <v>0.0</v>
      </c>
      <c r="I93" s="7">
        <v>0.0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0.0</v>
      </c>
      <c r="P93" s="7">
        <v>1.0</v>
      </c>
      <c r="Q93" s="7" t="s">
        <v>47</v>
      </c>
      <c r="R93" s="7">
        <v>0.0</v>
      </c>
      <c r="S93" s="7">
        <v>0.0</v>
      </c>
      <c r="T93" s="7">
        <v>0.0</v>
      </c>
      <c r="U93" s="7">
        <v>0.0</v>
      </c>
      <c r="V93" s="7" t="s">
        <v>24</v>
      </c>
    </row>
    <row r="94">
      <c r="A94" s="11">
        <v>45798.0</v>
      </c>
      <c r="B94" s="4">
        <v>7207660.0</v>
      </c>
      <c r="C94" s="4" t="s">
        <v>60</v>
      </c>
      <c r="D94" s="5">
        <f>+5566996417504</f>
        <v>5566996417504</v>
      </c>
      <c r="E94" s="4">
        <v>1.0</v>
      </c>
      <c r="F94" s="4">
        <v>1.0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1.0</v>
      </c>
      <c r="Q94" s="4" t="s">
        <v>40</v>
      </c>
      <c r="R94" s="4">
        <v>0.0</v>
      </c>
      <c r="S94" s="4">
        <v>0.0</v>
      </c>
      <c r="T94" s="4">
        <v>0.0</v>
      </c>
      <c r="U94" s="4">
        <v>0.0</v>
      </c>
      <c r="V94" s="4" t="s">
        <v>24</v>
      </c>
    </row>
    <row r="95">
      <c r="A95" s="11">
        <v>45798.0</v>
      </c>
      <c r="B95" s="7">
        <v>1.7174024E7</v>
      </c>
      <c r="C95" s="7" t="s">
        <v>23</v>
      </c>
      <c r="D95" s="8">
        <f>+5566999943102</f>
        <v>5566999943102</v>
      </c>
      <c r="E95" s="7">
        <v>3.0</v>
      </c>
      <c r="F95" s="7">
        <v>3.0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7">
        <v>0.0</v>
      </c>
      <c r="N95" s="7">
        <v>2.0</v>
      </c>
      <c r="O95" s="7">
        <v>0.0</v>
      </c>
      <c r="P95" s="7">
        <v>1.0</v>
      </c>
      <c r="Q95" s="7" t="s">
        <v>66</v>
      </c>
      <c r="R95" s="7">
        <v>0.0</v>
      </c>
      <c r="S95" s="7">
        <v>0.0</v>
      </c>
      <c r="T95" s="7">
        <v>0.0</v>
      </c>
      <c r="U95" s="7">
        <v>0.0</v>
      </c>
      <c r="V95" s="7" t="s">
        <v>24</v>
      </c>
    </row>
    <row r="96">
      <c r="A96" s="11">
        <v>45798.0</v>
      </c>
      <c r="B96" s="4">
        <v>1.7116809E7</v>
      </c>
      <c r="C96" s="4" t="s">
        <v>25</v>
      </c>
      <c r="D96" s="5">
        <f>+5566996708347</f>
        <v>5566996708347</v>
      </c>
      <c r="E96" s="4">
        <v>3.0</v>
      </c>
      <c r="F96" s="4">
        <v>3.0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1.0</v>
      </c>
      <c r="O96" s="4">
        <v>0.0</v>
      </c>
      <c r="P96" s="4">
        <v>1.0</v>
      </c>
      <c r="Q96" s="4" t="s">
        <v>56</v>
      </c>
      <c r="R96" s="4">
        <v>0.0</v>
      </c>
      <c r="S96" s="4">
        <v>0.0</v>
      </c>
      <c r="T96" s="4">
        <v>0.0</v>
      </c>
      <c r="U96" s="4">
        <v>0.0</v>
      </c>
      <c r="V96" s="4" t="s">
        <v>24</v>
      </c>
    </row>
    <row r="97">
      <c r="A97" s="11">
        <v>45798.0</v>
      </c>
      <c r="B97" s="7">
        <v>1.7109343E7</v>
      </c>
      <c r="C97" s="7" t="s">
        <v>31</v>
      </c>
      <c r="D97" s="8">
        <f>+5566996035167</f>
        <v>5566996035167</v>
      </c>
      <c r="E97" s="7">
        <v>3.0</v>
      </c>
      <c r="F97" s="7">
        <v>3.0</v>
      </c>
      <c r="G97" s="7">
        <v>0.0</v>
      </c>
      <c r="H97" s="7">
        <v>0.0</v>
      </c>
      <c r="I97" s="7">
        <v>0.0</v>
      </c>
      <c r="J97" s="7">
        <v>0.0</v>
      </c>
      <c r="K97" s="7">
        <v>0.0</v>
      </c>
      <c r="L97" s="7">
        <v>0.0</v>
      </c>
      <c r="M97" s="7">
        <v>0.0</v>
      </c>
      <c r="N97" s="7">
        <v>0.0</v>
      </c>
      <c r="O97" s="7">
        <v>2.0</v>
      </c>
      <c r="P97" s="7">
        <v>1.0</v>
      </c>
      <c r="Q97" s="7">
        <v>16.0</v>
      </c>
      <c r="R97" s="7">
        <v>0.0</v>
      </c>
      <c r="S97" s="7">
        <v>0.0</v>
      </c>
      <c r="T97" s="7">
        <v>0.0</v>
      </c>
      <c r="U97" s="7">
        <v>0.0</v>
      </c>
      <c r="V97" s="7" t="s">
        <v>24</v>
      </c>
    </row>
    <row r="98">
      <c r="A98" s="11">
        <v>45799.0</v>
      </c>
      <c r="B98" s="4">
        <v>1.7174024E7</v>
      </c>
      <c r="C98" s="4" t="s">
        <v>23</v>
      </c>
      <c r="D98" s="5">
        <f>+5566999943102</f>
        <v>5566999943102</v>
      </c>
      <c r="E98" s="4">
        <v>5.0</v>
      </c>
      <c r="F98" s="4">
        <v>5.0</v>
      </c>
      <c r="G98" s="4">
        <v>1.0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1.0</v>
      </c>
      <c r="Q98" s="4" t="s">
        <v>62</v>
      </c>
      <c r="R98" s="4">
        <v>0.0</v>
      </c>
      <c r="S98" s="4">
        <v>0.0</v>
      </c>
      <c r="T98" s="4">
        <v>0.0</v>
      </c>
      <c r="U98" s="4">
        <v>0.0</v>
      </c>
      <c r="V98" s="4" t="s">
        <v>24</v>
      </c>
    </row>
    <row r="99">
      <c r="A99" s="11">
        <v>45799.0</v>
      </c>
      <c r="B99" s="7">
        <v>1.7109343E7</v>
      </c>
      <c r="C99" s="7" t="s">
        <v>31</v>
      </c>
      <c r="D99" s="8">
        <f>+5566996035167</f>
        <v>5566996035167</v>
      </c>
      <c r="E99" s="7">
        <v>5.0</v>
      </c>
      <c r="F99" s="7">
        <v>5.0</v>
      </c>
      <c r="G99" s="7">
        <v>0.0</v>
      </c>
      <c r="H99" s="7">
        <v>0.0</v>
      </c>
      <c r="I99" s="7">
        <v>0.0</v>
      </c>
      <c r="J99" s="7">
        <v>0.0</v>
      </c>
      <c r="K99" s="7">
        <v>0.0</v>
      </c>
      <c r="L99" s="7">
        <v>0.0</v>
      </c>
      <c r="M99" s="7">
        <v>0.0</v>
      </c>
      <c r="N99" s="7">
        <v>0.0</v>
      </c>
      <c r="O99" s="7">
        <v>2.0</v>
      </c>
      <c r="P99" s="7">
        <v>1.0</v>
      </c>
      <c r="Q99" s="7">
        <v>15.0</v>
      </c>
      <c r="R99" s="7">
        <v>0.0</v>
      </c>
      <c r="S99" s="7">
        <v>0.0</v>
      </c>
      <c r="T99" s="7">
        <v>0.0</v>
      </c>
      <c r="U99" s="7">
        <v>0.0</v>
      </c>
      <c r="V99" s="7" t="s">
        <v>24</v>
      </c>
    </row>
    <row r="100">
      <c r="A100" s="11">
        <v>45800.0</v>
      </c>
      <c r="B100" s="4">
        <v>1.7528787E7</v>
      </c>
      <c r="C100" s="4" t="s">
        <v>67</v>
      </c>
      <c r="D100" s="5">
        <f>+5566996350296</f>
        <v>5566996350296</v>
      </c>
      <c r="E100" s="4">
        <v>1.0</v>
      </c>
      <c r="F100" s="4">
        <v>1.0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1.0</v>
      </c>
      <c r="P100" s="4">
        <v>1.0</v>
      </c>
      <c r="Q100" s="4">
        <v>1.0</v>
      </c>
      <c r="R100" s="4">
        <v>0.0</v>
      </c>
      <c r="S100" s="4">
        <v>0.0</v>
      </c>
      <c r="T100" s="4">
        <v>0.0</v>
      </c>
      <c r="U100" s="4">
        <v>0.0</v>
      </c>
      <c r="V100" s="4" t="s">
        <v>24</v>
      </c>
    </row>
    <row r="101">
      <c r="A101" s="11">
        <v>45800.0</v>
      </c>
      <c r="B101" s="7">
        <v>1.7174024E7</v>
      </c>
      <c r="C101" s="7" t="s">
        <v>23</v>
      </c>
      <c r="D101" s="8">
        <f>+5566999943102</f>
        <v>5566999943102</v>
      </c>
      <c r="E101" s="7">
        <v>2.0</v>
      </c>
      <c r="F101" s="7">
        <v>2.0</v>
      </c>
      <c r="G101" s="7">
        <v>0.0</v>
      </c>
      <c r="H101" s="7">
        <v>0.0</v>
      </c>
      <c r="I101" s="7">
        <v>0.0</v>
      </c>
      <c r="J101" s="7">
        <v>0.0</v>
      </c>
      <c r="K101" s="7">
        <v>0.0</v>
      </c>
      <c r="L101" s="7">
        <v>0.0</v>
      </c>
      <c r="M101" s="7">
        <v>0.0</v>
      </c>
      <c r="N101" s="7">
        <v>0.0</v>
      </c>
      <c r="O101" s="7">
        <v>1.0</v>
      </c>
      <c r="P101" s="7">
        <v>1.0</v>
      </c>
      <c r="Q101" s="7" t="s">
        <v>47</v>
      </c>
      <c r="R101" s="7">
        <v>0.0</v>
      </c>
      <c r="S101" s="7">
        <v>0.0</v>
      </c>
      <c r="T101" s="7">
        <v>0.0</v>
      </c>
      <c r="U101" s="7">
        <v>0.0</v>
      </c>
      <c r="V101" s="7" t="s">
        <v>24</v>
      </c>
    </row>
    <row r="102">
      <c r="A102" s="11">
        <v>45800.0</v>
      </c>
      <c r="B102" s="4">
        <v>1.7116809E7</v>
      </c>
      <c r="C102" s="4" t="s">
        <v>25</v>
      </c>
      <c r="D102" s="5">
        <f>+5566996708347</f>
        <v>5566996708347</v>
      </c>
      <c r="E102" s="4">
        <v>1.0</v>
      </c>
      <c r="F102" s="4">
        <v>1.0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1.0</v>
      </c>
      <c r="Q102" s="6">
        <v>45786.0</v>
      </c>
      <c r="R102" s="4">
        <v>0.0</v>
      </c>
      <c r="S102" s="4">
        <v>0.0</v>
      </c>
      <c r="T102" s="4">
        <v>0.0</v>
      </c>
      <c r="U102" s="4">
        <v>0.0</v>
      </c>
      <c r="V102" s="4" t="s">
        <v>24</v>
      </c>
    </row>
    <row r="103">
      <c r="A103" s="11">
        <v>45804.0</v>
      </c>
      <c r="B103" s="4">
        <v>1.7177142E7</v>
      </c>
      <c r="C103" s="4" t="s">
        <v>38</v>
      </c>
      <c r="D103" s="5">
        <f>+5566996954849</f>
        <v>5566996954849</v>
      </c>
      <c r="E103" s="4">
        <v>1.0</v>
      </c>
      <c r="F103" s="4">
        <v>1.0</v>
      </c>
      <c r="G103" s="4">
        <v>1.0</v>
      </c>
      <c r="H103" s="4">
        <v>1.0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1.0</v>
      </c>
      <c r="Q103" s="4" t="s">
        <v>62</v>
      </c>
      <c r="R103" s="4">
        <v>0.0</v>
      </c>
      <c r="S103" s="4">
        <v>0.0</v>
      </c>
      <c r="T103" s="4">
        <v>0.0</v>
      </c>
      <c r="U103" s="4">
        <v>0.0</v>
      </c>
      <c r="V103" s="4" t="s">
        <v>24</v>
      </c>
    </row>
    <row r="104">
      <c r="A104" s="11">
        <v>45804.0</v>
      </c>
      <c r="B104" s="7">
        <v>1.7174024E7</v>
      </c>
      <c r="C104" s="7" t="s">
        <v>23</v>
      </c>
      <c r="D104" s="8">
        <f>+5566999943102</f>
        <v>5566999943102</v>
      </c>
      <c r="E104" s="7">
        <v>2.0</v>
      </c>
      <c r="F104" s="7">
        <v>2.0</v>
      </c>
      <c r="G104" s="7">
        <v>0.0</v>
      </c>
      <c r="H104" s="7">
        <v>0.0</v>
      </c>
      <c r="I104" s="7">
        <v>0.0</v>
      </c>
      <c r="J104" s="7">
        <v>0.0</v>
      </c>
      <c r="K104" s="7">
        <v>0.0</v>
      </c>
      <c r="L104" s="7">
        <v>0.0</v>
      </c>
      <c r="M104" s="7">
        <v>0.0</v>
      </c>
      <c r="N104" s="7">
        <v>0.0</v>
      </c>
      <c r="O104" s="7">
        <v>1.0</v>
      </c>
      <c r="P104" s="7">
        <v>1.0</v>
      </c>
      <c r="Q104" s="7">
        <v>11.0</v>
      </c>
      <c r="R104" s="7">
        <v>0.0</v>
      </c>
      <c r="S104" s="7">
        <v>0.0</v>
      </c>
      <c r="T104" s="7">
        <v>0.0</v>
      </c>
      <c r="U104" s="7">
        <v>0.0</v>
      </c>
      <c r="V104" s="7" t="s">
        <v>24</v>
      </c>
    </row>
    <row r="105">
      <c r="A105" s="11">
        <v>45804.0</v>
      </c>
      <c r="B105" s="4">
        <v>1.7109343E7</v>
      </c>
      <c r="C105" s="4" t="s">
        <v>31</v>
      </c>
      <c r="D105" s="5">
        <f>+5566996035167</f>
        <v>5566996035167</v>
      </c>
      <c r="E105" s="4">
        <v>1.0</v>
      </c>
      <c r="F105" s="4">
        <v>1.0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1.0</v>
      </c>
      <c r="Q105" s="4" t="s">
        <v>68</v>
      </c>
      <c r="R105" s="4">
        <v>0.0</v>
      </c>
      <c r="S105" s="4">
        <v>0.0</v>
      </c>
      <c r="T105" s="4">
        <v>0.0</v>
      </c>
      <c r="U105" s="4">
        <v>0.0</v>
      </c>
      <c r="V105" s="4" t="s">
        <v>24</v>
      </c>
    </row>
    <row r="106">
      <c r="A106" s="11">
        <v>45804.0</v>
      </c>
      <c r="B106" s="7">
        <v>1.6263441E7</v>
      </c>
      <c r="C106" s="7" t="s">
        <v>36</v>
      </c>
      <c r="D106" s="8">
        <f>+5566996115789</f>
        <v>5566996115789</v>
      </c>
      <c r="E106" s="7">
        <v>1.0</v>
      </c>
      <c r="F106" s="7">
        <v>1.0</v>
      </c>
      <c r="G106" s="7">
        <v>0.0</v>
      </c>
      <c r="H106" s="7">
        <v>0.0</v>
      </c>
      <c r="I106" s="7">
        <v>0.0</v>
      </c>
      <c r="J106" s="7">
        <v>0.0</v>
      </c>
      <c r="K106" s="7">
        <v>0.0</v>
      </c>
      <c r="L106" s="7">
        <v>0.0</v>
      </c>
      <c r="M106" s="7">
        <v>0.0</v>
      </c>
      <c r="N106" s="7">
        <v>0.0</v>
      </c>
      <c r="O106" s="7">
        <v>0.0</v>
      </c>
      <c r="P106" s="7">
        <v>1.0</v>
      </c>
      <c r="Q106" s="7" t="s">
        <v>62</v>
      </c>
      <c r="R106" s="7">
        <v>0.0</v>
      </c>
      <c r="S106" s="7">
        <v>0.0</v>
      </c>
      <c r="T106" s="7">
        <v>0.0</v>
      </c>
      <c r="U106" s="7">
        <v>0.0</v>
      </c>
      <c r="V106" s="7" t="s">
        <v>24</v>
      </c>
    </row>
    <row r="107">
      <c r="A107" s="11">
        <v>45805.0</v>
      </c>
      <c r="B107" s="4">
        <v>1.7174024E7</v>
      </c>
      <c r="C107" s="4" t="s">
        <v>23</v>
      </c>
      <c r="D107" s="5">
        <f t="shared" ref="D107:D108" si="8">+5566999943102</f>
        <v>5566999943102</v>
      </c>
      <c r="E107" s="4">
        <v>1.0</v>
      </c>
      <c r="F107" s="4">
        <v>1.0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 t="s">
        <v>69</v>
      </c>
      <c r="R107" s="4">
        <v>0.0</v>
      </c>
      <c r="S107" s="4">
        <v>0.0</v>
      </c>
      <c r="T107" s="4">
        <v>0.0</v>
      </c>
      <c r="U107" s="4">
        <v>0.0</v>
      </c>
      <c r="V107" s="4" t="s">
        <v>24</v>
      </c>
    </row>
    <row r="108">
      <c r="A108" s="11">
        <v>45807.0</v>
      </c>
      <c r="B108" s="4">
        <v>1.7174024E7</v>
      </c>
      <c r="C108" s="4" t="s">
        <v>23</v>
      </c>
      <c r="D108" s="5">
        <f t="shared" si="8"/>
        <v>5566999943102</v>
      </c>
      <c r="E108" s="4">
        <v>5.0</v>
      </c>
      <c r="F108" s="4">
        <v>5.0</v>
      </c>
      <c r="G108" s="4">
        <v>0.0</v>
      </c>
      <c r="H108" s="4">
        <v>0.0</v>
      </c>
      <c r="I108" s="4">
        <v>0.0</v>
      </c>
      <c r="J108" s="4">
        <v>1.0</v>
      </c>
      <c r="K108" s="4">
        <v>1.0</v>
      </c>
      <c r="L108" s="4">
        <v>0.0</v>
      </c>
      <c r="M108" s="4">
        <v>0.0</v>
      </c>
      <c r="N108" s="4">
        <v>1.0</v>
      </c>
      <c r="O108" s="4">
        <v>0.0</v>
      </c>
      <c r="P108" s="4">
        <v>1.0</v>
      </c>
      <c r="Q108" s="4" t="s">
        <v>39</v>
      </c>
      <c r="R108" s="4">
        <v>0.0</v>
      </c>
      <c r="S108" s="4">
        <v>0.0</v>
      </c>
      <c r="T108" s="4">
        <v>0.0</v>
      </c>
      <c r="U108" s="4">
        <v>0.0</v>
      </c>
      <c r="V108" s="4" t="s">
        <v>24</v>
      </c>
    </row>
    <row r="109">
      <c r="A109" s="11">
        <v>45807.0</v>
      </c>
      <c r="B109" s="7">
        <v>1.7116809E7</v>
      </c>
      <c r="C109" s="7" t="s">
        <v>25</v>
      </c>
      <c r="D109" s="8">
        <f>+5566996708347</f>
        <v>5566996708347</v>
      </c>
      <c r="E109" s="7">
        <v>2.0</v>
      </c>
      <c r="F109" s="7">
        <v>2.0</v>
      </c>
      <c r="G109" s="7">
        <v>0.0</v>
      </c>
      <c r="H109" s="7">
        <v>0.0</v>
      </c>
      <c r="I109" s="7">
        <v>0.0</v>
      </c>
      <c r="J109" s="7">
        <v>0.0</v>
      </c>
      <c r="K109" s="7">
        <v>0.0</v>
      </c>
      <c r="L109" s="7">
        <v>0.0</v>
      </c>
      <c r="M109" s="7">
        <v>0.0</v>
      </c>
      <c r="N109" s="7">
        <v>0.0</v>
      </c>
      <c r="O109" s="7">
        <v>0.0</v>
      </c>
      <c r="P109" s="7">
        <v>1.0</v>
      </c>
      <c r="Q109" s="7" t="s">
        <v>47</v>
      </c>
      <c r="R109" s="7">
        <v>0.0</v>
      </c>
      <c r="S109" s="7">
        <v>0.0</v>
      </c>
      <c r="T109" s="7">
        <v>0.0</v>
      </c>
      <c r="U109" s="7">
        <v>0.0</v>
      </c>
      <c r="V109" s="7" t="s">
        <v>24</v>
      </c>
    </row>
    <row r="110">
      <c r="A110" s="11">
        <v>45809.0</v>
      </c>
      <c r="B110" s="4">
        <v>1.7174024E7</v>
      </c>
      <c r="C110" s="4" t="s">
        <v>23</v>
      </c>
      <c r="D110" s="5">
        <f>+5566999943102</f>
        <v>5566999943102</v>
      </c>
      <c r="E110" s="4">
        <v>2.0</v>
      </c>
      <c r="F110" s="4">
        <v>2.0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6">
        <v>45800.0</v>
      </c>
      <c r="R110" s="4">
        <v>0.0</v>
      </c>
      <c r="S110" s="4">
        <v>0.0</v>
      </c>
      <c r="T110" s="4">
        <v>0.0</v>
      </c>
      <c r="U110" s="4">
        <v>0.0</v>
      </c>
      <c r="V110" s="4" t="s">
        <v>24</v>
      </c>
    </row>
    <row r="111">
      <c r="A111" s="11">
        <v>45809.0</v>
      </c>
      <c r="B111" s="7">
        <v>1.7101714E7</v>
      </c>
      <c r="C111" s="7" t="s">
        <v>32</v>
      </c>
      <c r="D111" s="8">
        <f>+5566996006211</f>
        <v>5566996006211</v>
      </c>
      <c r="E111" s="7">
        <v>1.0</v>
      </c>
      <c r="F111" s="7">
        <v>1.0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7">
        <v>1.0</v>
      </c>
      <c r="N111" s="7">
        <v>0.0</v>
      </c>
      <c r="O111" s="7">
        <v>1.0</v>
      </c>
      <c r="P111" s="7">
        <v>1.0</v>
      </c>
      <c r="Q111" s="7">
        <v>23.0</v>
      </c>
      <c r="R111" s="7">
        <v>0.0</v>
      </c>
      <c r="S111" s="7">
        <v>0.0</v>
      </c>
      <c r="T111" s="7">
        <v>0.0</v>
      </c>
      <c r="U111" s="7">
        <v>0.0</v>
      </c>
      <c r="V111" s="7" t="s">
        <v>24</v>
      </c>
    </row>
    <row r="112">
      <c r="A112" s="11">
        <v>45810.0</v>
      </c>
      <c r="B112" s="4">
        <v>1.8181466E7</v>
      </c>
      <c r="C112" s="4" t="s">
        <v>70</v>
      </c>
      <c r="D112" s="5">
        <f>+5566997150642</f>
        <v>5566997150642</v>
      </c>
      <c r="E112" s="4">
        <v>1.0</v>
      </c>
      <c r="F112" s="4">
        <v>1.0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1.0</v>
      </c>
      <c r="Q112" s="4">
        <v>17.0</v>
      </c>
      <c r="R112" s="4">
        <v>0.0</v>
      </c>
      <c r="S112" s="4">
        <v>0.0</v>
      </c>
      <c r="T112" s="4">
        <v>0.0</v>
      </c>
      <c r="U112" s="4">
        <v>0.0</v>
      </c>
      <c r="V112" s="4" t="s">
        <v>24</v>
      </c>
    </row>
    <row r="113">
      <c r="A113" s="11">
        <v>45810.0</v>
      </c>
      <c r="B113" s="7">
        <v>1.7101714E7</v>
      </c>
      <c r="C113" s="7" t="s">
        <v>32</v>
      </c>
      <c r="D113" s="8">
        <f>+5566996006211</f>
        <v>5566996006211</v>
      </c>
      <c r="E113" s="7">
        <v>1.0</v>
      </c>
      <c r="F113" s="7">
        <v>1.0</v>
      </c>
      <c r="G113" s="7">
        <v>0.0</v>
      </c>
      <c r="H113" s="7">
        <v>0.0</v>
      </c>
      <c r="I113" s="7">
        <v>0.0</v>
      </c>
      <c r="J113" s="7">
        <v>1.0</v>
      </c>
      <c r="K113" s="7">
        <v>1.0</v>
      </c>
      <c r="L113" s="7">
        <v>0.0</v>
      </c>
      <c r="M113" s="7">
        <v>0.0</v>
      </c>
      <c r="N113" s="7">
        <v>0.0</v>
      </c>
      <c r="O113" s="7">
        <v>0.0</v>
      </c>
      <c r="P113" s="7">
        <v>1.0</v>
      </c>
      <c r="Q113" s="9">
        <v>45783.0</v>
      </c>
      <c r="R113" s="7">
        <v>0.0</v>
      </c>
      <c r="S113" s="7">
        <v>0.0</v>
      </c>
      <c r="T113" s="7">
        <v>0.0</v>
      </c>
      <c r="U113" s="7">
        <v>0.0</v>
      </c>
      <c r="V113" s="7" t="s">
        <v>24</v>
      </c>
    </row>
    <row r="114">
      <c r="A114" s="11">
        <v>45811.0</v>
      </c>
      <c r="B114" s="4">
        <v>1.7174024E7</v>
      </c>
      <c r="C114" s="4" t="s">
        <v>23</v>
      </c>
      <c r="D114" s="5">
        <f>+5566999943102</f>
        <v>5566999943102</v>
      </c>
      <c r="E114" s="4">
        <v>2.0</v>
      </c>
      <c r="F114" s="4">
        <v>2.0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1.0</v>
      </c>
      <c r="P114" s="4">
        <v>1.0</v>
      </c>
      <c r="Q114" s="6">
        <v>45789.0</v>
      </c>
      <c r="R114" s="4">
        <v>0.0</v>
      </c>
      <c r="S114" s="4">
        <v>0.0</v>
      </c>
      <c r="T114" s="4">
        <v>0.0</v>
      </c>
      <c r="U114" s="4">
        <v>0.0</v>
      </c>
      <c r="V114" s="4" t="s">
        <v>24</v>
      </c>
    </row>
    <row r="115">
      <c r="A115" s="11">
        <v>45811.0</v>
      </c>
      <c r="B115" s="7">
        <v>1.7116809E7</v>
      </c>
      <c r="C115" s="7" t="s">
        <v>25</v>
      </c>
      <c r="D115" s="8">
        <f>+5566996708347</f>
        <v>5566996708347</v>
      </c>
      <c r="E115" s="7">
        <v>1.0</v>
      </c>
      <c r="F115" s="7">
        <v>1.0</v>
      </c>
      <c r="G115" s="7">
        <v>0.0</v>
      </c>
      <c r="H115" s="7">
        <v>0.0</v>
      </c>
      <c r="I115" s="7">
        <v>0.0</v>
      </c>
      <c r="J115" s="7">
        <v>0.0</v>
      </c>
      <c r="K115" s="7">
        <v>0.0</v>
      </c>
      <c r="L115" s="7">
        <v>0.0</v>
      </c>
      <c r="M115" s="7">
        <v>0.0</v>
      </c>
      <c r="N115" s="7">
        <v>0.0</v>
      </c>
      <c r="O115" s="7">
        <v>0.0</v>
      </c>
      <c r="P115" s="7">
        <v>1.0</v>
      </c>
      <c r="Q115" s="9">
        <v>45780.0</v>
      </c>
      <c r="R115" s="7">
        <v>0.0</v>
      </c>
      <c r="S115" s="7">
        <v>0.0</v>
      </c>
      <c r="T115" s="7">
        <v>0.0</v>
      </c>
      <c r="U115" s="7">
        <v>0.0</v>
      </c>
      <c r="V115" s="7" t="s">
        <v>24</v>
      </c>
    </row>
    <row r="116">
      <c r="A116" s="11">
        <v>45811.0</v>
      </c>
      <c r="B116" s="4">
        <v>1.7109343E7</v>
      </c>
      <c r="C116" s="4" t="s">
        <v>31</v>
      </c>
      <c r="D116" s="5">
        <f>+5566996035167</f>
        <v>5566996035167</v>
      </c>
      <c r="E116" s="4">
        <v>8.0</v>
      </c>
      <c r="F116" s="4">
        <v>8.0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1.0</v>
      </c>
      <c r="P116" s="4">
        <v>1.0</v>
      </c>
      <c r="Q116" s="4" t="s">
        <v>41</v>
      </c>
      <c r="R116" s="4">
        <v>0.0</v>
      </c>
      <c r="S116" s="4">
        <v>0.0</v>
      </c>
      <c r="T116" s="4">
        <v>0.0</v>
      </c>
      <c r="U116" s="4">
        <v>0.0</v>
      </c>
      <c r="V116" s="4" t="s">
        <v>24</v>
      </c>
    </row>
    <row r="117">
      <c r="A117" s="11">
        <v>45811.0</v>
      </c>
      <c r="B117" s="7">
        <v>1.7101714E7</v>
      </c>
      <c r="C117" s="7" t="s">
        <v>32</v>
      </c>
      <c r="D117" s="8">
        <f>+5566996006211</f>
        <v>5566996006211</v>
      </c>
      <c r="E117" s="7">
        <v>2.0</v>
      </c>
      <c r="F117" s="7">
        <v>2.0</v>
      </c>
      <c r="G117" s="7">
        <v>1.0</v>
      </c>
      <c r="H117" s="7">
        <v>1.0</v>
      </c>
      <c r="I117" s="7">
        <v>0.0</v>
      </c>
      <c r="J117" s="7">
        <v>0.0</v>
      </c>
      <c r="K117" s="7">
        <v>0.0</v>
      </c>
      <c r="L117" s="7">
        <v>0.0</v>
      </c>
      <c r="M117" s="7">
        <v>1.0</v>
      </c>
      <c r="N117" s="7">
        <v>0.0</v>
      </c>
      <c r="O117" s="7">
        <v>1.0</v>
      </c>
      <c r="P117" s="7">
        <v>1.0</v>
      </c>
      <c r="Q117" s="9">
        <v>45787.0</v>
      </c>
      <c r="R117" s="7">
        <v>0.0</v>
      </c>
      <c r="S117" s="7">
        <v>0.0</v>
      </c>
      <c r="T117" s="7">
        <v>0.0</v>
      </c>
      <c r="U117" s="7">
        <v>0.0</v>
      </c>
      <c r="V117" s="7" t="s">
        <v>24</v>
      </c>
    </row>
    <row r="118">
      <c r="A118" s="11">
        <v>45811.0</v>
      </c>
      <c r="B118" s="4">
        <v>1.6263441E7</v>
      </c>
      <c r="C118" s="4" t="s">
        <v>36</v>
      </c>
      <c r="D118" s="5">
        <f>+5566996115789</f>
        <v>5566996115789</v>
      </c>
      <c r="E118" s="4">
        <v>1.0</v>
      </c>
      <c r="F118" s="4">
        <v>1.0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1.0</v>
      </c>
      <c r="N118" s="4">
        <v>0.0</v>
      </c>
      <c r="O118" s="4">
        <v>1.0</v>
      </c>
      <c r="P118" s="4">
        <v>1.0</v>
      </c>
      <c r="Q118" s="4" t="s">
        <v>62</v>
      </c>
      <c r="R118" s="4">
        <v>0.0</v>
      </c>
      <c r="S118" s="4">
        <v>0.0</v>
      </c>
      <c r="T118" s="4">
        <v>0.0</v>
      </c>
      <c r="U118" s="4">
        <v>0.0</v>
      </c>
      <c r="V118" s="4" t="s">
        <v>24</v>
      </c>
    </row>
    <row r="119">
      <c r="A119" s="11">
        <v>45812.0</v>
      </c>
      <c r="B119" s="4">
        <v>1.7291892E7</v>
      </c>
      <c r="C119" s="4" t="s">
        <v>50</v>
      </c>
      <c r="D119" s="5">
        <f>+5566999146788</f>
        <v>5566999146788</v>
      </c>
      <c r="E119" s="4">
        <v>3.0</v>
      </c>
      <c r="F119" s="4">
        <v>3.0</v>
      </c>
      <c r="G119" s="4">
        <v>1.0</v>
      </c>
      <c r="H119" s="4">
        <v>1.0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2.0</v>
      </c>
      <c r="O119" s="4">
        <v>0.0</v>
      </c>
      <c r="P119" s="4">
        <v>1.0</v>
      </c>
      <c r="Q119" s="4" t="s">
        <v>33</v>
      </c>
      <c r="R119" s="4">
        <v>0.0</v>
      </c>
      <c r="S119" s="4">
        <v>0.0</v>
      </c>
      <c r="T119" s="4">
        <v>0.0</v>
      </c>
      <c r="U119" s="4">
        <v>0.0</v>
      </c>
      <c r="V119" s="4" t="s">
        <v>24</v>
      </c>
    </row>
    <row r="120">
      <c r="A120" s="11">
        <v>45812.0</v>
      </c>
      <c r="B120" s="7">
        <v>1.7174024E7</v>
      </c>
      <c r="C120" s="7" t="s">
        <v>23</v>
      </c>
      <c r="D120" s="8">
        <f>+5566999943102</f>
        <v>5566999943102</v>
      </c>
      <c r="E120" s="7">
        <v>1.0</v>
      </c>
      <c r="F120" s="7">
        <v>1.0</v>
      </c>
      <c r="G120" s="7">
        <v>0.0</v>
      </c>
      <c r="H120" s="7">
        <v>0.0</v>
      </c>
      <c r="I120" s="7">
        <v>0.0</v>
      </c>
      <c r="J120" s="7">
        <v>0.0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1.0</v>
      </c>
      <c r="Q120" s="9">
        <v>45800.0</v>
      </c>
      <c r="R120" s="7">
        <v>0.0</v>
      </c>
      <c r="S120" s="7">
        <v>0.0</v>
      </c>
      <c r="T120" s="7">
        <v>0.0</v>
      </c>
      <c r="U120" s="7">
        <v>0.0</v>
      </c>
      <c r="V120" s="7" t="s">
        <v>24</v>
      </c>
    </row>
    <row r="121">
      <c r="A121" s="11">
        <v>45812.0</v>
      </c>
      <c r="B121" s="4">
        <v>1.7116809E7</v>
      </c>
      <c r="C121" s="4" t="s">
        <v>25</v>
      </c>
      <c r="D121" s="5">
        <f>+5566996708347</f>
        <v>5566996708347</v>
      </c>
      <c r="E121" s="4">
        <v>1.0</v>
      </c>
      <c r="F121" s="4">
        <v>1.0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1.0</v>
      </c>
      <c r="Q121" s="4" t="s">
        <v>65</v>
      </c>
      <c r="R121" s="4">
        <v>0.0</v>
      </c>
      <c r="S121" s="4">
        <v>0.0</v>
      </c>
      <c r="T121" s="4">
        <v>0.0</v>
      </c>
      <c r="U121" s="4">
        <v>0.0</v>
      </c>
      <c r="V121" s="4" t="s">
        <v>24</v>
      </c>
    </row>
    <row r="122">
      <c r="A122" s="11">
        <v>45812.0</v>
      </c>
      <c r="B122" s="7">
        <v>1.7101714E7</v>
      </c>
      <c r="C122" s="7" t="s">
        <v>32</v>
      </c>
      <c r="D122" s="8">
        <f>+5566996006211</f>
        <v>5566996006211</v>
      </c>
      <c r="E122" s="7">
        <v>1.0</v>
      </c>
      <c r="F122" s="7">
        <v>1.0</v>
      </c>
      <c r="G122" s="7">
        <v>0.0</v>
      </c>
      <c r="H122" s="7">
        <v>0.0</v>
      </c>
      <c r="I122" s="7">
        <v>0.0</v>
      </c>
      <c r="J122" s="7">
        <v>0.0</v>
      </c>
      <c r="K122" s="7">
        <v>0.0</v>
      </c>
      <c r="L122" s="7">
        <v>0.0</v>
      </c>
      <c r="M122" s="7">
        <v>0.0</v>
      </c>
      <c r="N122" s="7">
        <v>1.0</v>
      </c>
      <c r="O122" s="7">
        <v>0.0</v>
      </c>
      <c r="P122" s="7">
        <v>1.0</v>
      </c>
      <c r="Q122" s="9">
        <v>45800.0</v>
      </c>
      <c r="R122" s="7">
        <v>0.0</v>
      </c>
      <c r="S122" s="7">
        <v>0.0</v>
      </c>
      <c r="T122" s="7">
        <v>0.0</v>
      </c>
      <c r="U122" s="7">
        <v>0.0</v>
      </c>
      <c r="V122" s="7" t="s">
        <v>24</v>
      </c>
    </row>
    <row r="123">
      <c r="A123" s="11">
        <v>45812.0</v>
      </c>
      <c r="B123" s="4">
        <v>1.2146346E7</v>
      </c>
      <c r="C123" s="4" t="s">
        <v>37</v>
      </c>
      <c r="D123" s="5">
        <f>+5566996312650</f>
        <v>5566996312650</v>
      </c>
      <c r="E123" s="4">
        <v>1.0</v>
      </c>
      <c r="F123" s="4">
        <v>1.0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1.0</v>
      </c>
      <c r="Q123" s="4">
        <v>14.0</v>
      </c>
      <c r="R123" s="4">
        <v>0.0</v>
      </c>
      <c r="S123" s="4">
        <v>0.0</v>
      </c>
      <c r="T123" s="4">
        <v>0.0</v>
      </c>
      <c r="U123" s="4">
        <v>0.0</v>
      </c>
      <c r="V123" s="4" t="s">
        <v>24</v>
      </c>
    </row>
    <row r="124">
      <c r="A124" s="11">
        <v>45814.0</v>
      </c>
      <c r="B124" s="4">
        <v>1.7116809E7</v>
      </c>
      <c r="C124" s="4" t="s">
        <v>25</v>
      </c>
      <c r="D124" s="5">
        <f>+5566996708347</f>
        <v>5566996708347</v>
      </c>
      <c r="E124" s="4">
        <v>2.0</v>
      </c>
      <c r="F124" s="4">
        <v>2.0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1.0</v>
      </c>
      <c r="Q124" s="4" t="s">
        <v>65</v>
      </c>
      <c r="R124" s="4">
        <v>0.0</v>
      </c>
      <c r="S124" s="4">
        <v>0.0</v>
      </c>
      <c r="T124" s="4">
        <v>0.0</v>
      </c>
      <c r="U124" s="4">
        <v>0.0</v>
      </c>
      <c r="V124" s="4" t="s">
        <v>24</v>
      </c>
    </row>
    <row r="125">
      <c r="A125" s="11">
        <v>45814.0</v>
      </c>
      <c r="B125" s="7">
        <v>1.7109343E7</v>
      </c>
      <c r="C125" s="7" t="s">
        <v>31</v>
      </c>
      <c r="D125" s="8">
        <f>+5566996035167</f>
        <v>5566996035167</v>
      </c>
      <c r="E125" s="7">
        <v>2.0</v>
      </c>
      <c r="F125" s="7">
        <v>2.0</v>
      </c>
      <c r="G125" s="7">
        <v>0.0</v>
      </c>
      <c r="H125" s="7">
        <v>0.0</v>
      </c>
      <c r="I125" s="7">
        <v>0.0</v>
      </c>
      <c r="J125" s="7">
        <v>0.0</v>
      </c>
      <c r="K125" s="7">
        <v>0.0</v>
      </c>
      <c r="L125" s="7">
        <v>0.0</v>
      </c>
      <c r="M125" s="7">
        <v>0.0</v>
      </c>
      <c r="N125" s="7">
        <v>0.0</v>
      </c>
      <c r="O125" s="7">
        <v>0.0</v>
      </c>
      <c r="P125" s="7">
        <v>1.0</v>
      </c>
      <c r="Q125" s="7" t="s">
        <v>54</v>
      </c>
      <c r="R125" s="7">
        <v>0.0</v>
      </c>
      <c r="S125" s="7">
        <v>0.0</v>
      </c>
      <c r="T125" s="7">
        <v>0.0</v>
      </c>
      <c r="U125" s="7">
        <v>0.0</v>
      </c>
      <c r="V125" s="7" t="s">
        <v>24</v>
      </c>
    </row>
    <row r="126">
      <c r="A126" s="11">
        <v>45814.0</v>
      </c>
      <c r="B126" s="4">
        <v>1.7101714E7</v>
      </c>
      <c r="C126" s="4" t="s">
        <v>32</v>
      </c>
      <c r="D126" s="5">
        <f>+5566996006211</f>
        <v>5566996006211</v>
      </c>
      <c r="E126" s="4">
        <v>2.0</v>
      </c>
      <c r="F126" s="4">
        <v>2.0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 t="s">
        <v>58</v>
      </c>
      <c r="R126" s="4">
        <v>0.0</v>
      </c>
      <c r="S126" s="4">
        <v>0.0</v>
      </c>
      <c r="T126" s="4">
        <v>0.0</v>
      </c>
      <c r="U126" s="4">
        <v>0.0</v>
      </c>
      <c r="V126" s="4" t="s">
        <v>24</v>
      </c>
    </row>
    <row r="127">
      <c r="A127" s="11">
        <v>45815.0</v>
      </c>
      <c r="B127" s="4">
        <v>1.720766E7</v>
      </c>
      <c r="C127" s="4" t="s">
        <v>60</v>
      </c>
      <c r="D127" s="5">
        <f>+5566996417504</f>
        <v>5566996417504</v>
      </c>
      <c r="E127" s="4">
        <v>2.0</v>
      </c>
      <c r="F127" s="4">
        <v>2.0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 t="s">
        <v>68</v>
      </c>
      <c r="R127" s="4">
        <v>0.0</v>
      </c>
      <c r="S127" s="4">
        <v>0.0</v>
      </c>
      <c r="T127" s="4">
        <v>0.0</v>
      </c>
      <c r="U127" s="4">
        <v>0.0</v>
      </c>
      <c r="V127" s="4" t="s">
        <v>24</v>
      </c>
    </row>
    <row r="128">
      <c r="A128" s="11">
        <v>45815.0</v>
      </c>
      <c r="B128" s="7">
        <v>1.7174024E7</v>
      </c>
      <c r="C128" s="7" t="s">
        <v>23</v>
      </c>
      <c r="D128" s="8">
        <f>+5566999943102</f>
        <v>5566999943102</v>
      </c>
      <c r="E128" s="7">
        <v>4.0</v>
      </c>
      <c r="F128" s="7">
        <v>4.0</v>
      </c>
      <c r="G128" s="7">
        <v>0.0</v>
      </c>
      <c r="H128" s="7">
        <v>0.0</v>
      </c>
      <c r="I128" s="7">
        <v>0.0</v>
      </c>
      <c r="J128" s="7">
        <v>0.0</v>
      </c>
      <c r="K128" s="7">
        <v>0.0</v>
      </c>
      <c r="L128" s="7">
        <v>0.0</v>
      </c>
      <c r="M128" s="7">
        <v>0.0</v>
      </c>
      <c r="N128" s="7">
        <v>1.0</v>
      </c>
      <c r="O128" s="7">
        <v>0.0</v>
      </c>
      <c r="P128" s="7">
        <v>1.0</v>
      </c>
      <c r="Q128" s="7" t="s">
        <v>47</v>
      </c>
      <c r="R128" s="7">
        <v>0.0</v>
      </c>
      <c r="S128" s="7">
        <v>0.0</v>
      </c>
      <c r="T128" s="7">
        <v>0.0</v>
      </c>
      <c r="U128" s="7">
        <v>0.0</v>
      </c>
      <c r="V128" s="7" t="s">
        <v>24</v>
      </c>
    </row>
    <row r="129">
      <c r="A129" s="11">
        <v>45816.0</v>
      </c>
      <c r="B129" s="4">
        <v>1.720766E7</v>
      </c>
      <c r="C129" s="4" t="s">
        <v>60</v>
      </c>
      <c r="D129" s="5">
        <f>+5566996417504</f>
        <v>5566996417504</v>
      </c>
      <c r="E129" s="4">
        <v>1.0</v>
      </c>
      <c r="F129" s="4">
        <v>1.0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1.0</v>
      </c>
      <c r="Q129" s="6">
        <v>45800.0</v>
      </c>
      <c r="R129" s="4">
        <v>0.0</v>
      </c>
      <c r="S129" s="4">
        <v>0.0</v>
      </c>
      <c r="T129" s="4">
        <v>0.0</v>
      </c>
      <c r="U129" s="4">
        <v>0.0</v>
      </c>
      <c r="V129" s="4" t="s">
        <v>24</v>
      </c>
    </row>
    <row r="130">
      <c r="A130" s="11">
        <v>45816.0</v>
      </c>
      <c r="B130" s="7">
        <v>1.7177142E7</v>
      </c>
      <c r="C130" s="7" t="s">
        <v>38</v>
      </c>
      <c r="D130" s="8">
        <f>+5566996954849</f>
        <v>5566996954849</v>
      </c>
      <c r="E130" s="7">
        <v>1.0</v>
      </c>
      <c r="F130" s="7">
        <v>1.0</v>
      </c>
      <c r="G130" s="7">
        <v>0.0</v>
      </c>
      <c r="H130" s="7">
        <v>0.0</v>
      </c>
      <c r="I130" s="7">
        <v>0.0</v>
      </c>
      <c r="J130" s="7">
        <v>0.0</v>
      </c>
      <c r="K130" s="7">
        <v>0.0</v>
      </c>
      <c r="L130" s="7">
        <v>0.0</v>
      </c>
      <c r="M130" s="7">
        <v>0.0</v>
      </c>
      <c r="N130" s="7">
        <v>0.0</v>
      </c>
      <c r="O130" s="7">
        <v>0.0</v>
      </c>
      <c r="P130" s="7">
        <v>1.0</v>
      </c>
      <c r="Q130" s="9">
        <v>45793.0</v>
      </c>
      <c r="R130" s="7">
        <v>0.0</v>
      </c>
      <c r="S130" s="7">
        <v>0.0</v>
      </c>
      <c r="T130" s="7">
        <v>0.0</v>
      </c>
      <c r="U130" s="7">
        <v>0.0</v>
      </c>
      <c r="V130" s="7" t="s">
        <v>24</v>
      </c>
    </row>
    <row r="131">
      <c r="A131" s="11">
        <v>45816.0</v>
      </c>
      <c r="B131" s="4">
        <v>1.7174024E7</v>
      </c>
      <c r="C131" s="4" t="s">
        <v>23</v>
      </c>
      <c r="D131" s="5">
        <f>+5566999943102</f>
        <v>5566999943102</v>
      </c>
      <c r="E131" s="4">
        <v>3.0</v>
      </c>
      <c r="F131" s="4">
        <v>3.0</v>
      </c>
      <c r="G131" s="4">
        <v>0.0</v>
      </c>
      <c r="H131" s="4">
        <v>0.0</v>
      </c>
      <c r="I131" s="4">
        <v>0.0</v>
      </c>
      <c r="J131" s="4">
        <v>2.0</v>
      </c>
      <c r="K131" s="4">
        <v>2.0</v>
      </c>
      <c r="L131" s="4">
        <v>0.0</v>
      </c>
      <c r="M131" s="4">
        <v>0.0</v>
      </c>
      <c r="N131" s="4">
        <v>1.0</v>
      </c>
      <c r="O131" s="4">
        <v>0.0</v>
      </c>
      <c r="P131" s="4">
        <v>1.0</v>
      </c>
      <c r="Q131" s="4" t="s">
        <v>53</v>
      </c>
      <c r="R131" s="4">
        <v>0.0</v>
      </c>
      <c r="S131" s="4">
        <v>0.0</v>
      </c>
      <c r="T131" s="4">
        <v>0.0</v>
      </c>
      <c r="U131" s="4">
        <v>0.0</v>
      </c>
      <c r="V131" s="4" t="s">
        <v>24</v>
      </c>
    </row>
    <row r="132">
      <c r="A132" s="11">
        <v>45816.0</v>
      </c>
      <c r="B132" s="7">
        <v>1.7109343E7</v>
      </c>
      <c r="C132" s="7" t="s">
        <v>31</v>
      </c>
      <c r="D132" s="8">
        <f>+5566996035167</f>
        <v>5566996035167</v>
      </c>
      <c r="E132" s="7">
        <v>3.0</v>
      </c>
      <c r="F132" s="7">
        <v>3.0</v>
      </c>
      <c r="G132" s="7">
        <v>2.0</v>
      </c>
      <c r="H132" s="7">
        <v>2.0</v>
      </c>
      <c r="I132" s="7">
        <v>0.0</v>
      </c>
      <c r="J132" s="7">
        <v>0.0</v>
      </c>
      <c r="K132" s="7">
        <v>0.0</v>
      </c>
      <c r="L132" s="7">
        <v>0.0</v>
      </c>
      <c r="M132" s="7">
        <v>0.0</v>
      </c>
      <c r="N132" s="7">
        <v>0.0</v>
      </c>
      <c r="O132" s="7">
        <v>0.0</v>
      </c>
      <c r="P132" s="7">
        <v>1.0</v>
      </c>
      <c r="Q132" s="7" t="s">
        <v>41</v>
      </c>
      <c r="R132" s="7">
        <v>0.0</v>
      </c>
      <c r="S132" s="7">
        <v>0.0</v>
      </c>
      <c r="T132" s="7">
        <v>0.0</v>
      </c>
      <c r="U132" s="7">
        <v>0.0</v>
      </c>
      <c r="V132" s="7" t="s">
        <v>24</v>
      </c>
    </row>
    <row r="133">
      <c r="A133" s="11">
        <v>45816.0</v>
      </c>
      <c r="B133" s="4">
        <v>1.6263441E7</v>
      </c>
      <c r="C133" s="4" t="s">
        <v>36</v>
      </c>
      <c r="D133" s="5">
        <f>+5566996115789</f>
        <v>5566996115789</v>
      </c>
      <c r="E133" s="4">
        <v>2.0</v>
      </c>
      <c r="F133" s="4">
        <v>2.0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2.0</v>
      </c>
      <c r="N133" s="4">
        <v>0.0</v>
      </c>
      <c r="O133" s="4">
        <v>2.0</v>
      </c>
      <c r="P133" s="4">
        <v>1.0</v>
      </c>
      <c r="Q133" s="4" t="s">
        <v>58</v>
      </c>
      <c r="R133" s="4">
        <v>0.0</v>
      </c>
      <c r="S133" s="4">
        <v>0.0</v>
      </c>
      <c r="T133" s="4">
        <v>0.0</v>
      </c>
      <c r="U133" s="4">
        <v>0.0</v>
      </c>
      <c r="V133" s="4" t="s">
        <v>24</v>
      </c>
    </row>
    <row r="134">
      <c r="A134" s="11">
        <v>45817.0</v>
      </c>
      <c r="B134" s="4">
        <v>1.720766E7</v>
      </c>
      <c r="C134" s="4" t="s">
        <v>60</v>
      </c>
      <c r="D134" s="5">
        <f>+5566996417504</f>
        <v>5566996417504</v>
      </c>
      <c r="E134" s="4">
        <v>1.0</v>
      </c>
      <c r="F134" s="4">
        <v>1.0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1.0</v>
      </c>
      <c r="Q134" s="4" t="s">
        <v>71</v>
      </c>
      <c r="R134" s="4">
        <v>0.0</v>
      </c>
      <c r="S134" s="4">
        <v>0.0</v>
      </c>
      <c r="T134" s="4">
        <v>0.0</v>
      </c>
      <c r="U134" s="4">
        <v>0.0</v>
      </c>
      <c r="V134" s="4" t="s">
        <v>24</v>
      </c>
    </row>
    <row r="135">
      <c r="A135" s="11">
        <v>45817.0</v>
      </c>
      <c r="B135" s="7">
        <v>1.7174024E7</v>
      </c>
      <c r="C135" s="7" t="s">
        <v>23</v>
      </c>
      <c r="D135" s="8">
        <f>+5566999943102</f>
        <v>5566999943102</v>
      </c>
      <c r="E135" s="7">
        <v>2.0</v>
      </c>
      <c r="F135" s="7">
        <v>2.0</v>
      </c>
      <c r="G135" s="7">
        <v>1.0</v>
      </c>
      <c r="H135" s="7">
        <v>1.0</v>
      </c>
      <c r="I135" s="7">
        <v>0.0</v>
      </c>
      <c r="J135" s="7">
        <v>0.0</v>
      </c>
      <c r="K135" s="7">
        <v>0.0</v>
      </c>
      <c r="L135" s="7">
        <v>0.0</v>
      </c>
      <c r="M135" s="7">
        <v>0.0</v>
      </c>
      <c r="N135" s="7">
        <v>0.0</v>
      </c>
      <c r="O135" s="7">
        <v>1.0</v>
      </c>
      <c r="P135" s="7">
        <v>1.0</v>
      </c>
      <c r="Q135" s="7" t="s">
        <v>39</v>
      </c>
      <c r="R135" s="7">
        <v>0.0</v>
      </c>
      <c r="S135" s="7">
        <v>0.0</v>
      </c>
      <c r="T135" s="7">
        <v>0.0</v>
      </c>
      <c r="U135" s="7">
        <v>0.0</v>
      </c>
      <c r="V135" s="7" t="s">
        <v>24</v>
      </c>
    </row>
    <row r="136">
      <c r="A136" s="11">
        <v>45819.0</v>
      </c>
      <c r="B136" s="4">
        <v>1.7177142E7</v>
      </c>
      <c r="C136" s="4" t="s">
        <v>38</v>
      </c>
      <c r="D136" s="5">
        <f>+5566996954849</f>
        <v>5566996954849</v>
      </c>
      <c r="E136" s="4">
        <v>2.0</v>
      </c>
      <c r="F136" s="4">
        <v>2.0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1.0</v>
      </c>
      <c r="P136" s="4">
        <v>1.0</v>
      </c>
      <c r="Q136" s="6">
        <v>45793.0</v>
      </c>
      <c r="R136" s="4">
        <v>0.0</v>
      </c>
      <c r="S136" s="4">
        <v>0.0</v>
      </c>
      <c r="T136" s="4">
        <v>0.0</v>
      </c>
      <c r="U136" s="4">
        <v>0.0</v>
      </c>
      <c r="V136" s="4" t="s">
        <v>24</v>
      </c>
    </row>
    <row r="137">
      <c r="A137" s="11">
        <v>45819.0</v>
      </c>
      <c r="B137" s="7">
        <v>1.6263441E7</v>
      </c>
      <c r="C137" s="7" t="s">
        <v>36</v>
      </c>
      <c r="D137" s="8">
        <f>+5566996115789</f>
        <v>5566996115789</v>
      </c>
      <c r="E137" s="7">
        <v>2.0</v>
      </c>
      <c r="F137" s="7">
        <v>2.0</v>
      </c>
      <c r="G137" s="7">
        <v>0.0</v>
      </c>
      <c r="H137" s="7">
        <v>0.0</v>
      </c>
      <c r="I137" s="7">
        <v>0.0</v>
      </c>
      <c r="J137" s="7">
        <v>0.0</v>
      </c>
      <c r="K137" s="7">
        <v>0.0</v>
      </c>
      <c r="L137" s="7">
        <v>0.0</v>
      </c>
      <c r="M137" s="7">
        <v>0.0</v>
      </c>
      <c r="N137" s="7">
        <v>1.0</v>
      </c>
      <c r="O137" s="7">
        <v>1.0</v>
      </c>
      <c r="P137" s="7">
        <v>1.0</v>
      </c>
      <c r="Q137" s="9">
        <v>45799.0</v>
      </c>
      <c r="R137" s="7">
        <v>0.0</v>
      </c>
      <c r="S137" s="7">
        <v>0.0</v>
      </c>
      <c r="T137" s="7">
        <v>0.0</v>
      </c>
      <c r="U137" s="7">
        <v>0.0</v>
      </c>
      <c r="V137" s="7" t="s">
        <v>24</v>
      </c>
    </row>
    <row r="138">
      <c r="A138" s="11">
        <v>45819.0</v>
      </c>
      <c r="B138" s="4">
        <v>1.2146346E7</v>
      </c>
      <c r="C138" s="4" t="s">
        <v>37</v>
      </c>
      <c r="D138" s="5">
        <f>+5566996312650</f>
        <v>5566996312650</v>
      </c>
      <c r="E138" s="4">
        <v>2.0</v>
      </c>
      <c r="F138" s="4">
        <v>2.0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1.0</v>
      </c>
      <c r="P138" s="4">
        <v>1.0</v>
      </c>
      <c r="Q138" s="4">
        <v>23.0</v>
      </c>
      <c r="R138" s="4">
        <v>0.0</v>
      </c>
      <c r="S138" s="4">
        <v>0.0</v>
      </c>
      <c r="T138" s="4">
        <v>0.0</v>
      </c>
      <c r="U138" s="4">
        <v>0.0</v>
      </c>
      <c r="V138" s="4" t="s">
        <v>24</v>
      </c>
    </row>
    <row r="139" ht="16.5" customHeight="1">
      <c r="A139" s="11">
        <v>45820.0</v>
      </c>
      <c r="B139" s="4">
        <v>1.7177142E7</v>
      </c>
      <c r="C139" s="4" t="s">
        <v>38</v>
      </c>
      <c r="D139" s="5">
        <f>+5566996954849</f>
        <v>5566996954849</v>
      </c>
      <c r="E139" s="4">
        <v>2.0</v>
      </c>
      <c r="F139" s="4">
        <v>2.0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1.0</v>
      </c>
      <c r="P139" s="4">
        <v>1.0</v>
      </c>
      <c r="Q139" s="6">
        <v>45793.0</v>
      </c>
      <c r="R139" s="4">
        <v>0.0</v>
      </c>
      <c r="S139" s="4">
        <v>0.0</v>
      </c>
      <c r="T139" s="4">
        <v>0.0</v>
      </c>
      <c r="U139" s="4">
        <v>0.0</v>
      </c>
      <c r="V139" s="4" t="s">
        <v>24</v>
      </c>
    </row>
    <row r="140">
      <c r="A140" s="11">
        <v>45820.0</v>
      </c>
      <c r="B140" s="7">
        <v>1.6263441E7</v>
      </c>
      <c r="C140" s="7" t="s">
        <v>36</v>
      </c>
      <c r="D140" s="8">
        <f>+5566996115789</f>
        <v>5566996115789</v>
      </c>
      <c r="E140" s="7">
        <v>2.0</v>
      </c>
      <c r="F140" s="7">
        <v>2.0</v>
      </c>
      <c r="G140" s="7">
        <v>0.0</v>
      </c>
      <c r="H140" s="7">
        <v>0.0</v>
      </c>
      <c r="I140" s="7">
        <v>0.0</v>
      </c>
      <c r="J140" s="7">
        <v>0.0</v>
      </c>
      <c r="K140" s="7">
        <v>0.0</v>
      </c>
      <c r="L140" s="7">
        <v>0.0</v>
      </c>
      <c r="M140" s="7">
        <v>0.0</v>
      </c>
      <c r="N140" s="7">
        <v>1.0</v>
      </c>
      <c r="O140" s="7">
        <v>1.0</v>
      </c>
      <c r="P140" s="7">
        <v>1.0</v>
      </c>
      <c r="Q140" s="9">
        <v>45799.0</v>
      </c>
      <c r="R140" s="7">
        <v>0.0</v>
      </c>
      <c r="S140" s="7">
        <v>0.0</v>
      </c>
      <c r="T140" s="7">
        <v>0.0</v>
      </c>
      <c r="U140" s="7">
        <v>0.0</v>
      </c>
      <c r="V140" s="7" t="s">
        <v>24</v>
      </c>
    </row>
    <row r="141">
      <c r="A141" s="11">
        <v>45820.0</v>
      </c>
      <c r="B141" s="4">
        <v>1.2146346E7</v>
      </c>
      <c r="C141" s="4" t="s">
        <v>37</v>
      </c>
      <c r="D141" s="5">
        <f>+5566996312650</f>
        <v>5566996312650</v>
      </c>
      <c r="E141" s="4">
        <v>2.0</v>
      </c>
      <c r="F141" s="4">
        <v>2.0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1.0</v>
      </c>
      <c r="P141" s="4">
        <v>1.0</v>
      </c>
      <c r="Q141" s="4">
        <v>23.0</v>
      </c>
      <c r="R141" s="4">
        <v>0.0</v>
      </c>
      <c r="S141" s="4">
        <v>0.0</v>
      </c>
      <c r="T141" s="4">
        <v>0.0</v>
      </c>
      <c r="U141" s="4">
        <v>0.0</v>
      </c>
      <c r="V141" s="4" t="s">
        <v>24</v>
      </c>
    </row>
    <row r="142">
      <c r="A142" s="11">
        <v>45821.0</v>
      </c>
      <c r="B142" s="4">
        <v>1.7177142E7</v>
      </c>
      <c r="C142" s="4" t="s">
        <v>38</v>
      </c>
      <c r="D142" s="5">
        <f>+5566996954849</f>
        <v>5566996954849</v>
      </c>
      <c r="E142" s="4">
        <v>3.0</v>
      </c>
      <c r="F142" s="4">
        <v>3.0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 t="s">
        <v>62</v>
      </c>
      <c r="R142" s="4">
        <v>0.0</v>
      </c>
      <c r="S142" s="4">
        <v>0.0</v>
      </c>
      <c r="T142" s="4">
        <v>0.0</v>
      </c>
      <c r="U142" s="4">
        <v>0.0</v>
      </c>
      <c r="V142" s="4" t="s">
        <v>24</v>
      </c>
    </row>
    <row r="143">
      <c r="A143" s="11">
        <v>45821.0</v>
      </c>
      <c r="B143" s="7">
        <v>1.7101714E7</v>
      </c>
      <c r="C143" s="7" t="s">
        <v>32</v>
      </c>
      <c r="D143" s="8">
        <f>+5566996006211</f>
        <v>5566996006211</v>
      </c>
      <c r="E143" s="7">
        <v>2.0</v>
      </c>
      <c r="F143" s="7">
        <v>2.0</v>
      </c>
      <c r="G143" s="7">
        <v>0.0</v>
      </c>
      <c r="H143" s="7">
        <v>0.0</v>
      </c>
      <c r="I143" s="7">
        <v>0.0</v>
      </c>
      <c r="J143" s="7">
        <v>0.0</v>
      </c>
      <c r="K143" s="7">
        <v>0.0</v>
      </c>
      <c r="L143" s="7">
        <v>0.0</v>
      </c>
      <c r="M143" s="7">
        <v>1.0</v>
      </c>
      <c r="N143" s="7">
        <v>0.0</v>
      </c>
      <c r="O143" s="7">
        <v>1.0</v>
      </c>
      <c r="P143" s="7">
        <v>1.0</v>
      </c>
      <c r="Q143" s="7" t="s">
        <v>64</v>
      </c>
      <c r="R143" s="7">
        <v>0.0</v>
      </c>
      <c r="S143" s="7">
        <v>0.0</v>
      </c>
      <c r="T143" s="7">
        <v>0.0</v>
      </c>
      <c r="U143" s="7">
        <v>0.0</v>
      </c>
      <c r="V143" s="7" t="s">
        <v>24</v>
      </c>
    </row>
    <row r="144">
      <c r="A144" s="11">
        <v>45821.0</v>
      </c>
      <c r="B144" s="4">
        <v>1.6263441E7</v>
      </c>
      <c r="C144" s="4" t="s">
        <v>36</v>
      </c>
      <c r="D144" s="5">
        <f>+5566996115789</f>
        <v>5566996115789</v>
      </c>
      <c r="E144" s="4">
        <v>3.0</v>
      </c>
      <c r="F144" s="4">
        <v>3.0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1.0</v>
      </c>
      <c r="O144" s="4">
        <v>1.0</v>
      </c>
      <c r="P144" s="4">
        <v>1.0</v>
      </c>
      <c r="Q144" s="4" t="s">
        <v>62</v>
      </c>
      <c r="R144" s="4">
        <v>0.0</v>
      </c>
      <c r="S144" s="4">
        <v>0.0</v>
      </c>
      <c r="T144" s="4">
        <v>0.0</v>
      </c>
      <c r="U144" s="4">
        <v>0.0</v>
      </c>
      <c r="V144" s="4" t="s">
        <v>24</v>
      </c>
    </row>
    <row r="145">
      <c r="A145" s="11">
        <v>45821.0</v>
      </c>
      <c r="B145" s="7">
        <v>1.2146346E7</v>
      </c>
      <c r="C145" s="7" t="s">
        <v>37</v>
      </c>
      <c r="D145" s="8">
        <f>+5566996312650</f>
        <v>5566996312650</v>
      </c>
      <c r="E145" s="7">
        <v>3.0</v>
      </c>
      <c r="F145" s="7">
        <v>3.0</v>
      </c>
      <c r="G145" s="7">
        <v>0.0</v>
      </c>
      <c r="H145" s="7">
        <v>0.0</v>
      </c>
      <c r="I145" s="7">
        <v>0.0</v>
      </c>
      <c r="J145" s="7">
        <v>0.0</v>
      </c>
      <c r="K145" s="7">
        <v>0.0</v>
      </c>
      <c r="L145" s="7">
        <v>0.0</v>
      </c>
      <c r="M145" s="7">
        <v>0.0</v>
      </c>
      <c r="N145" s="7">
        <v>1.0</v>
      </c>
      <c r="O145" s="7">
        <v>1.0</v>
      </c>
      <c r="P145" s="7">
        <v>1.0</v>
      </c>
      <c r="Q145" s="7" t="s">
        <v>72</v>
      </c>
      <c r="R145" s="7">
        <v>0.0</v>
      </c>
      <c r="S145" s="7">
        <v>0.0</v>
      </c>
      <c r="T145" s="7">
        <v>0.0</v>
      </c>
      <c r="U145" s="7">
        <v>0.0</v>
      </c>
      <c r="V145" s="7" t="s">
        <v>24</v>
      </c>
    </row>
    <row r="146">
      <c r="A146" s="11">
        <v>45822.0</v>
      </c>
      <c r="B146" s="4">
        <v>1.7291892E7</v>
      </c>
      <c r="C146" s="4" t="s">
        <v>50</v>
      </c>
      <c r="D146" s="5">
        <f>+5566999146788</f>
        <v>5566999146788</v>
      </c>
      <c r="E146" s="4">
        <v>1.0</v>
      </c>
      <c r="F146" s="4">
        <v>1.0</v>
      </c>
      <c r="G146" s="4">
        <v>1.0</v>
      </c>
      <c r="H146" s="4">
        <v>1.0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1.0</v>
      </c>
      <c r="Q146" s="4" t="s">
        <v>73</v>
      </c>
      <c r="R146" s="4">
        <v>0.0</v>
      </c>
      <c r="S146" s="4">
        <v>0.0</v>
      </c>
      <c r="T146" s="4">
        <v>0.0</v>
      </c>
      <c r="U146" s="4">
        <v>0.0</v>
      </c>
      <c r="V146" s="4" t="s">
        <v>24</v>
      </c>
    </row>
    <row r="147">
      <c r="A147" s="11">
        <v>45822.0</v>
      </c>
      <c r="B147" s="7">
        <v>1.7177142E7</v>
      </c>
      <c r="C147" s="7" t="s">
        <v>38</v>
      </c>
      <c r="D147" s="8">
        <f>+5566996954849</f>
        <v>5566996954849</v>
      </c>
      <c r="E147" s="7">
        <v>9.0</v>
      </c>
      <c r="F147" s="7">
        <v>5.0</v>
      </c>
      <c r="G147" s="7">
        <v>1.0</v>
      </c>
      <c r="H147" s="7">
        <v>1.0</v>
      </c>
      <c r="I147" s="7">
        <v>0.0</v>
      </c>
      <c r="J147" s="7">
        <v>0.0</v>
      </c>
      <c r="K147" s="7">
        <v>0.0</v>
      </c>
      <c r="L147" s="7">
        <v>0.0</v>
      </c>
      <c r="M147" s="7">
        <v>0.0</v>
      </c>
      <c r="N147" s="7">
        <v>0.0</v>
      </c>
      <c r="O147" s="7">
        <v>2.0</v>
      </c>
      <c r="P147" s="7">
        <v>1.0</v>
      </c>
      <c r="Q147" s="9">
        <v>45786.0</v>
      </c>
      <c r="R147" s="7">
        <v>0.0</v>
      </c>
      <c r="S147" s="7">
        <v>0.0</v>
      </c>
      <c r="T147" s="7">
        <v>0.0</v>
      </c>
      <c r="U147" s="7">
        <v>0.0</v>
      </c>
      <c r="V147" s="7" t="s">
        <v>24</v>
      </c>
    </row>
    <row r="148">
      <c r="A148" s="11">
        <v>45822.0</v>
      </c>
      <c r="B148" s="4">
        <v>1.6263441E7</v>
      </c>
      <c r="C148" s="4" t="s">
        <v>36</v>
      </c>
      <c r="D148" s="5">
        <f>+5566996115789</f>
        <v>5566996115789</v>
      </c>
      <c r="E148" s="4">
        <v>12.0</v>
      </c>
      <c r="F148" s="4">
        <v>12.0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2.0</v>
      </c>
      <c r="P148" s="4">
        <v>1.0</v>
      </c>
      <c r="Q148" s="6">
        <v>45798.0</v>
      </c>
      <c r="R148" s="4">
        <v>0.0</v>
      </c>
      <c r="S148" s="4">
        <v>0.0</v>
      </c>
      <c r="T148" s="4">
        <v>0.0</v>
      </c>
      <c r="U148" s="4">
        <v>0.0</v>
      </c>
      <c r="V148" s="4" t="s">
        <v>24</v>
      </c>
    </row>
    <row r="149">
      <c r="A149" s="11">
        <v>45824.0</v>
      </c>
      <c r="B149" s="15">
        <v>1.7177142E7</v>
      </c>
      <c r="C149" s="15" t="s">
        <v>74</v>
      </c>
      <c r="D149" s="16">
        <f>+5566996954849</f>
        <v>5566996954849</v>
      </c>
      <c r="E149" s="15">
        <v>7.0</v>
      </c>
      <c r="F149" s="15">
        <v>7.0</v>
      </c>
      <c r="G149" s="15">
        <v>0.0</v>
      </c>
      <c r="H149" s="15">
        <v>0.0</v>
      </c>
      <c r="I149" s="15">
        <v>0.0</v>
      </c>
      <c r="J149" s="15">
        <v>1.0</v>
      </c>
      <c r="K149" s="15">
        <v>1.0</v>
      </c>
      <c r="L149" s="15">
        <v>0.0</v>
      </c>
      <c r="M149" s="15">
        <v>0.0</v>
      </c>
      <c r="N149" s="15">
        <v>0.0</v>
      </c>
      <c r="O149" s="15">
        <v>0.0</v>
      </c>
      <c r="P149" s="15">
        <v>1.0</v>
      </c>
      <c r="Q149" s="15">
        <v>20.0</v>
      </c>
      <c r="R149" s="15">
        <v>0.0</v>
      </c>
      <c r="S149" s="15">
        <v>0.0</v>
      </c>
      <c r="T149" s="15">
        <v>0.0</v>
      </c>
      <c r="U149" s="15">
        <v>0.0</v>
      </c>
      <c r="V149" s="15" t="s">
        <v>24</v>
      </c>
    </row>
    <row r="150">
      <c r="A150" s="11">
        <v>45824.0</v>
      </c>
      <c r="B150" s="17">
        <v>1.7174024E7</v>
      </c>
      <c r="C150" s="17" t="s">
        <v>23</v>
      </c>
      <c r="D150" s="18">
        <f>+5566999943102</f>
        <v>5566999943102</v>
      </c>
      <c r="E150" s="17">
        <v>11.0</v>
      </c>
      <c r="F150" s="17">
        <v>11.0</v>
      </c>
      <c r="G150" s="17">
        <v>0.0</v>
      </c>
      <c r="H150" s="17">
        <v>0.0</v>
      </c>
      <c r="I150" s="17">
        <v>0.0</v>
      </c>
      <c r="J150" s="17">
        <v>1.0</v>
      </c>
      <c r="K150" s="17">
        <v>1.0</v>
      </c>
      <c r="L150" s="17">
        <v>0.0</v>
      </c>
      <c r="M150" s="17">
        <v>2.0</v>
      </c>
      <c r="N150" s="17">
        <v>3.0</v>
      </c>
      <c r="O150" s="17">
        <v>3.0</v>
      </c>
      <c r="P150" s="17">
        <v>1.0</v>
      </c>
      <c r="Q150" s="17">
        <v>16.75</v>
      </c>
      <c r="R150" s="17">
        <v>0.0</v>
      </c>
      <c r="S150" s="17">
        <v>0.0</v>
      </c>
      <c r="T150" s="17">
        <v>0.0</v>
      </c>
      <c r="U150" s="17">
        <v>0.0</v>
      </c>
      <c r="V150" s="17" t="s">
        <v>24</v>
      </c>
    </row>
    <row r="151">
      <c r="A151" s="11">
        <v>45824.0</v>
      </c>
      <c r="B151" s="15">
        <v>1.7116809E7</v>
      </c>
      <c r="C151" s="15" t="s">
        <v>75</v>
      </c>
      <c r="D151" s="16">
        <f>+5566996708347</f>
        <v>5566996708347</v>
      </c>
      <c r="E151" s="15">
        <v>2.0</v>
      </c>
      <c r="F151" s="15">
        <v>2.0</v>
      </c>
      <c r="G151" s="15">
        <v>0.0</v>
      </c>
      <c r="H151" s="15">
        <v>0.0</v>
      </c>
      <c r="I151" s="15">
        <v>0.0</v>
      </c>
      <c r="J151" s="15">
        <v>0.0</v>
      </c>
      <c r="K151" s="15">
        <v>0.0</v>
      </c>
      <c r="L151" s="15">
        <v>0.0</v>
      </c>
      <c r="M151" s="15">
        <v>0.0</v>
      </c>
      <c r="N151" s="15">
        <v>0.0</v>
      </c>
      <c r="O151" s="15">
        <v>0.0</v>
      </c>
      <c r="P151" s="15">
        <v>1.0</v>
      </c>
      <c r="Q151" s="15">
        <v>5.25</v>
      </c>
      <c r="R151" s="15">
        <v>0.0</v>
      </c>
      <c r="S151" s="15">
        <v>0.0</v>
      </c>
      <c r="T151" s="15">
        <v>0.0</v>
      </c>
      <c r="U151" s="15">
        <v>0.0</v>
      </c>
      <c r="V151" s="15" t="s">
        <v>24</v>
      </c>
    </row>
    <row r="152">
      <c r="A152" s="11">
        <v>45824.0</v>
      </c>
      <c r="B152" s="17">
        <v>1.7109343E7</v>
      </c>
      <c r="C152" s="17" t="s">
        <v>31</v>
      </c>
      <c r="D152" s="18">
        <f>+5566996035167</f>
        <v>5566996035167</v>
      </c>
      <c r="E152" s="17">
        <v>6.0</v>
      </c>
      <c r="F152" s="17">
        <v>4.0</v>
      </c>
      <c r="G152" s="17">
        <v>0.0</v>
      </c>
      <c r="H152" s="17">
        <v>0.0</v>
      </c>
      <c r="I152" s="17">
        <v>0.0</v>
      </c>
      <c r="J152" s="17">
        <v>0.0</v>
      </c>
      <c r="K152" s="17">
        <v>0.0</v>
      </c>
      <c r="L152" s="17">
        <v>0.0</v>
      </c>
      <c r="M152" s="17">
        <v>0.0</v>
      </c>
      <c r="N152" s="17">
        <v>0.0</v>
      </c>
      <c r="O152" s="17">
        <v>2.0</v>
      </c>
      <c r="P152" s="17">
        <v>1.0</v>
      </c>
      <c r="Q152" s="17">
        <v>15.5</v>
      </c>
      <c r="R152" s="17">
        <v>0.0</v>
      </c>
      <c r="S152" s="17">
        <v>0.0</v>
      </c>
      <c r="T152" s="17">
        <v>0.0</v>
      </c>
      <c r="U152" s="17">
        <v>0.0</v>
      </c>
      <c r="V152" s="17" t="s">
        <v>24</v>
      </c>
    </row>
    <row r="153">
      <c r="A153" s="11">
        <v>45824.0</v>
      </c>
      <c r="B153" s="15">
        <v>1.6263441E7</v>
      </c>
      <c r="C153" s="15" t="s">
        <v>36</v>
      </c>
      <c r="D153" s="16">
        <f>+5566996115789</f>
        <v>5566996115789</v>
      </c>
      <c r="E153" s="15">
        <v>2.0</v>
      </c>
      <c r="F153" s="15">
        <v>2.0</v>
      </c>
      <c r="G153" s="15">
        <v>0.0</v>
      </c>
      <c r="H153" s="15">
        <v>0.0</v>
      </c>
      <c r="I153" s="15">
        <v>0.0</v>
      </c>
      <c r="J153" s="15">
        <v>0.0</v>
      </c>
      <c r="K153" s="15">
        <v>0.0</v>
      </c>
      <c r="L153" s="15">
        <v>0.0</v>
      </c>
      <c r="M153" s="15">
        <v>0.0</v>
      </c>
      <c r="N153" s="15">
        <v>0.0</v>
      </c>
      <c r="O153" s="15">
        <v>0.0</v>
      </c>
      <c r="P153" s="15">
        <v>1.0</v>
      </c>
      <c r="Q153" s="15">
        <v>22.5</v>
      </c>
      <c r="R153" s="15">
        <v>0.0</v>
      </c>
      <c r="S153" s="15">
        <v>0.0</v>
      </c>
      <c r="T153" s="15">
        <v>0.0</v>
      </c>
      <c r="U153" s="15">
        <v>0.0</v>
      </c>
      <c r="V153" s="15" t="s">
        <v>24</v>
      </c>
    </row>
    <row r="154">
      <c r="A154" s="11">
        <v>45824.0</v>
      </c>
      <c r="B154" s="17">
        <v>1.2146346E7</v>
      </c>
      <c r="C154" s="17" t="s">
        <v>37</v>
      </c>
      <c r="D154" s="18">
        <f>+5566996312650</f>
        <v>5566996312650</v>
      </c>
      <c r="E154" s="17">
        <v>2.0</v>
      </c>
      <c r="F154" s="17">
        <v>2.0</v>
      </c>
      <c r="G154" s="17">
        <v>0.0</v>
      </c>
      <c r="H154" s="17">
        <v>0.0</v>
      </c>
      <c r="I154" s="17">
        <v>0.0</v>
      </c>
      <c r="J154" s="17">
        <v>0.0</v>
      </c>
      <c r="K154" s="17">
        <v>0.0</v>
      </c>
      <c r="L154" s="17">
        <v>0.0</v>
      </c>
      <c r="M154" s="17">
        <v>0.0</v>
      </c>
      <c r="N154" s="17">
        <v>0.0</v>
      </c>
      <c r="O154" s="17">
        <v>0.0</v>
      </c>
      <c r="P154" s="17">
        <v>1.0</v>
      </c>
      <c r="Q154" s="17">
        <v>16.25</v>
      </c>
      <c r="R154" s="17">
        <v>0.0</v>
      </c>
      <c r="S154" s="17">
        <v>0.0</v>
      </c>
      <c r="T154" s="17">
        <v>0.0</v>
      </c>
      <c r="U154" s="17">
        <v>0.0</v>
      </c>
      <c r="V154" s="17" t="s">
        <v>24</v>
      </c>
    </row>
    <row r="155">
      <c r="A155" s="11">
        <v>45825.0</v>
      </c>
      <c r="B155" s="15">
        <v>1.7291892E7</v>
      </c>
      <c r="C155" s="15" t="s">
        <v>50</v>
      </c>
      <c r="D155" s="16">
        <f>+5566999146788</f>
        <v>5566999146788</v>
      </c>
      <c r="E155" s="15">
        <v>1.0</v>
      </c>
      <c r="F155" s="15">
        <v>1.0</v>
      </c>
      <c r="G155" s="15">
        <v>0.0</v>
      </c>
      <c r="H155" s="15">
        <v>0.0</v>
      </c>
      <c r="I155" s="15">
        <v>0.0</v>
      </c>
      <c r="J155" s="15">
        <v>0.0</v>
      </c>
      <c r="K155" s="15">
        <v>0.0</v>
      </c>
      <c r="L155" s="15">
        <v>0.0</v>
      </c>
      <c r="M155" s="15">
        <v>0.0</v>
      </c>
      <c r="N155" s="15">
        <v>1.0</v>
      </c>
      <c r="O155" s="15">
        <v>0.0</v>
      </c>
      <c r="P155" s="15">
        <v>1.0</v>
      </c>
      <c r="Q155" s="15">
        <v>4.25</v>
      </c>
      <c r="R155" s="15">
        <v>0.0</v>
      </c>
      <c r="S155" s="15">
        <v>0.0</v>
      </c>
      <c r="T155" s="15">
        <v>0.0</v>
      </c>
      <c r="U155" s="15">
        <v>0.0</v>
      </c>
      <c r="V155" s="15" t="s">
        <v>24</v>
      </c>
    </row>
    <row r="156">
      <c r="A156" s="11">
        <v>45825.0</v>
      </c>
      <c r="B156" s="17">
        <v>1.7177142E7</v>
      </c>
      <c r="C156" s="17" t="s">
        <v>74</v>
      </c>
      <c r="D156" s="18">
        <f>+5566996954849</f>
        <v>5566996954849</v>
      </c>
      <c r="E156" s="17">
        <v>1.0</v>
      </c>
      <c r="F156" s="17">
        <v>1.0</v>
      </c>
      <c r="G156" s="17">
        <v>0.0</v>
      </c>
      <c r="H156" s="17">
        <v>0.0</v>
      </c>
      <c r="I156" s="17">
        <v>0.0</v>
      </c>
      <c r="J156" s="17">
        <v>0.0</v>
      </c>
      <c r="K156" s="17">
        <v>0.0</v>
      </c>
      <c r="L156" s="17">
        <v>0.0</v>
      </c>
      <c r="M156" s="17">
        <v>0.0</v>
      </c>
      <c r="N156" s="17">
        <v>0.0</v>
      </c>
      <c r="O156" s="17">
        <v>0.0</v>
      </c>
      <c r="P156" s="17">
        <v>1.0</v>
      </c>
      <c r="Q156" s="17">
        <v>17.5</v>
      </c>
      <c r="R156" s="17">
        <v>0.0</v>
      </c>
      <c r="S156" s="17">
        <v>0.0</v>
      </c>
      <c r="T156" s="17">
        <v>0.0</v>
      </c>
      <c r="U156" s="17">
        <v>0.0</v>
      </c>
      <c r="V156" s="17" t="s">
        <v>24</v>
      </c>
    </row>
    <row r="157">
      <c r="A157" s="11">
        <v>45825.0</v>
      </c>
      <c r="B157" s="15">
        <v>1.6263441E7</v>
      </c>
      <c r="C157" s="15" t="s">
        <v>36</v>
      </c>
      <c r="D157" s="16">
        <f>+5566996115789</f>
        <v>5566996115789</v>
      </c>
      <c r="E157" s="15">
        <v>1.0</v>
      </c>
      <c r="F157" s="15">
        <v>1.0</v>
      </c>
      <c r="G157" s="15">
        <v>0.0</v>
      </c>
      <c r="H157" s="15">
        <v>0.0</v>
      </c>
      <c r="I157" s="15">
        <v>0.0</v>
      </c>
      <c r="J157" s="15">
        <v>0.0</v>
      </c>
      <c r="K157" s="15">
        <v>0.0</v>
      </c>
      <c r="L157" s="15">
        <v>0.0</v>
      </c>
      <c r="M157" s="15">
        <v>1.0</v>
      </c>
      <c r="N157" s="15">
        <v>0.0</v>
      </c>
      <c r="O157" s="15">
        <v>1.0</v>
      </c>
      <c r="P157" s="15">
        <v>1.0</v>
      </c>
      <c r="Q157" s="15">
        <v>22.25</v>
      </c>
      <c r="R157" s="15">
        <v>0.0</v>
      </c>
      <c r="S157" s="15">
        <v>0.0</v>
      </c>
      <c r="T157" s="15">
        <v>0.0</v>
      </c>
      <c r="U157" s="15">
        <v>0.0</v>
      </c>
      <c r="V157" s="15" t="s">
        <v>24</v>
      </c>
    </row>
    <row r="158">
      <c r="A158" s="11">
        <v>45825.0</v>
      </c>
      <c r="B158" s="17">
        <v>1.2146346E7</v>
      </c>
      <c r="C158" s="17" t="s">
        <v>37</v>
      </c>
      <c r="D158" s="18">
        <f>+5566996312650</f>
        <v>5566996312650</v>
      </c>
      <c r="E158" s="17">
        <v>1.0</v>
      </c>
      <c r="F158" s="17">
        <v>1.0</v>
      </c>
      <c r="G158" s="17">
        <v>0.0</v>
      </c>
      <c r="H158" s="17">
        <v>0.0</v>
      </c>
      <c r="I158" s="17">
        <v>0.0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1.0</v>
      </c>
      <c r="Q158" s="17">
        <v>15.75</v>
      </c>
      <c r="R158" s="17">
        <v>0.0</v>
      </c>
      <c r="S158" s="17">
        <v>0.0</v>
      </c>
      <c r="T158" s="17">
        <v>0.0</v>
      </c>
      <c r="U158" s="17">
        <v>0.0</v>
      </c>
      <c r="V158" s="17" t="s">
        <v>24</v>
      </c>
    </row>
    <row r="159">
      <c r="A159" s="11">
        <v>45828.0</v>
      </c>
      <c r="B159" s="15">
        <v>1.7291892E7</v>
      </c>
      <c r="C159" s="15" t="s">
        <v>50</v>
      </c>
      <c r="D159" s="16">
        <f>+5566999146788</f>
        <v>5566999146788</v>
      </c>
      <c r="E159" s="15">
        <v>2.0</v>
      </c>
      <c r="F159" s="15">
        <v>2.0</v>
      </c>
      <c r="G159" s="15">
        <v>0.0</v>
      </c>
      <c r="H159" s="15">
        <v>0.0</v>
      </c>
      <c r="I159" s="15">
        <v>0.0</v>
      </c>
      <c r="J159" s="15">
        <v>1.0</v>
      </c>
      <c r="K159" s="15">
        <v>1.0</v>
      </c>
      <c r="L159" s="15">
        <v>0.0</v>
      </c>
      <c r="M159" s="15">
        <v>0.0</v>
      </c>
      <c r="N159" s="15">
        <v>1.0</v>
      </c>
      <c r="O159" s="15">
        <v>0.0</v>
      </c>
      <c r="P159" s="15">
        <v>1.0</v>
      </c>
      <c r="Q159" s="15">
        <v>10.25</v>
      </c>
      <c r="R159" s="15">
        <v>0.0</v>
      </c>
      <c r="S159" s="15">
        <v>0.0</v>
      </c>
      <c r="T159" s="15">
        <v>0.0</v>
      </c>
      <c r="U159" s="15">
        <v>0.0</v>
      </c>
      <c r="V159" s="15" t="s">
        <v>24</v>
      </c>
    </row>
    <row r="160">
      <c r="A160" s="11">
        <v>45830.0</v>
      </c>
      <c r="B160" s="15">
        <v>1.7528787E7</v>
      </c>
      <c r="C160" s="15" t="s">
        <v>67</v>
      </c>
      <c r="D160" s="16">
        <f>+5566996350296</f>
        <v>5566996350296</v>
      </c>
      <c r="E160" s="15">
        <v>1.0</v>
      </c>
      <c r="F160" s="15">
        <v>1.0</v>
      </c>
      <c r="G160" s="15">
        <v>0.0</v>
      </c>
      <c r="H160" s="15">
        <v>0.0</v>
      </c>
      <c r="I160" s="15">
        <v>0.0</v>
      </c>
      <c r="J160" s="15">
        <v>0.0</v>
      </c>
      <c r="K160" s="15">
        <v>0.0</v>
      </c>
      <c r="L160" s="15">
        <v>0.0</v>
      </c>
      <c r="M160" s="15">
        <v>0.0</v>
      </c>
      <c r="N160" s="15">
        <v>1.0</v>
      </c>
      <c r="O160" s="15">
        <v>0.0</v>
      </c>
      <c r="P160" s="15">
        <v>1.0</v>
      </c>
      <c r="Q160" s="15">
        <v>0.0</v>
      </c>
      <c r="R160" s="15">
        <v>0.0</v>
      </c>
      <c r="S160" s="15">
        <v>0.0</v>
      </c>
      <c r="T160" s="15">
        <v>0.0</v>
      </c>
      <c r="U160" s="15">
        <v>0.0</v>
      </c>
      <c r="V160" s="15" t="s">
        <v>24</v>
      </c>
    </row>
    <row r="161">
      <c r="A161" s="11">
        <v>45832.0</v>
      </c>
      <c r="B161" s="15">
        <v>1.7174024E7</v>
      </c>
      <c r="C161" s="15" t="s">
        <v>23</v>
      </c>
      <c r="D161" s="16">
        <f t="shared" ref="D161:D162" si="9">+5566999943102</f>
        <v>5566999943102</v>
      </c>
      <c r="E161" s="15">
        <v>3.0</v>
      </c>
      <c r="F161" s="15">
        <v>3.0</v>
      </c>
      <c r="G161" s="15">
        <v>0.0</v>
      </c>
      <c r="H161" s="15">
        <v>0.0</v>
      </c>
      <c r="I161" s="15">
        <v>0.0</v>
      </c>
      <c r="J161" s="15">
        <v>0.0</v>
      </c>
      <c r="K161" s="15">
        <v>0.0</v>
      </c>
      <c r="L161" s="15">
        <v>0.0</v>
      </c>
      <c r="M161" s="15">
        <v>0.0</v>
      </c>
      <c r="N161" s="15">
        <v>3.0</v>
      </c>
      <c r="O161" s="15">
        <v>0.0</v>
      </c>
      <c r="P161" s="15">
        <v>1.0</v>
      </c>
      <c r="Q161" s="15">
        <v>16.75</v>
      </c>
      <c r="R161" s="15">
        <v>0.0</v>
      </c>
      <c r="S161" s="15">
        <v>0.0</v>
      </c>
      <c r="T161" s="15">
        <v>0.0</v>
      </c>
      <c r="U161" s="15">
        <v>0.0</v>
      </c>
      <c r="V161" s="15" t="s">
        <v>24</v>
      </c>
    </row>
    <row r="162">
      <c r="A162" s="11">
        <v>45833.0</v>
      </c>
      <c r="B162" s="15">
        <v>1.7174024E7</v>
      </c>
      <c r="C162" s="15" t="s">
        <v>23</v>
      </c>
      <c r="D162" s="16">
        <f t="shared" si="9"/>
        <v>5566999943102</v>
      </c>
      <c r="E162" s="15">
        <v>1.0</v>
      </c>
      <c r="F162" s="15">
        <v>1.0</v>
      </c>
      <c r="G162" s="15">
        <v>0.0</v>
      </c>
      <c r="H162" s="15">
        <v>0.0</v>
      </c>
      <c r="I162" s="15">
        <v>0.0</v>
      </c>
      <c r="J162" s="15">
        <v>0.0</v>
      </c>
      <c r="K162" s="15">
        <v>0.0</v>
      </c>
      <c r="L162" s="15">
        <v>0.0</v>
      </c>
      <c r="M162" s="15">
        <v>0.0</v>
      </c>
      <c r="N162" s="15">
        <v>1.0</v>
      </c>
      <c r="O162" s="15">
        <v>0.0</v>
      </c>
      <c r="P162" s="15">
        <v>1.0</v>
      </c>
      <c r="Q162" s="15">
        <v>23.75</v>
      </c>
      <c r="R162" s="15">
        <v>0.0</v>
      </c>
      <c r="S162" s="15">
        <v>0.0</v>
      </c>
      <c r="T162" s="15">
        <v>0.0</v>
      </c>
      <c r="U162" s="15">
        <v>0.0</v>
      </c>
      <c r="V162" s="15" t="s">
        <v>24</v>
      </c>
    </row>
    <row r="163">
      <c r="A163" s="11">
        <v>45834.0</v>
      </c>
      <c r="B163" s="15">
        <v>1.7528787E7</v>
      </c>
      <c r="C163" s="15" t="s">
        <v>67</v>
      </c>
      <c r="D163" s="16">
        <f>+5566996350296</f>
        <v>5566996350296</v>
      </c>
      <c r="E163" s="15">
        <v>1.0</v>
      </c>
      <c r="F163" s="15">
        <v>1.0</v>
      </c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15">
        <v>1.0</v>
      </c>
      <c r="O163" s="15">
        <v>0.0</v>
      </c>
      <c r="P163" s="15">
        <v>1.0</v>
      </c>
      <c r="Q163" s="15">
        <v>1.75</v>
      </c>
      <c r="R163" s="15">
        <v>0.0</v>
      </c>
      <c r="S163" s="15">
        <v>0.0</v>
      </c>
      <c r="T163" s="15">
        <v>0.0</v>
      </c>
      <c r="U163" s="15">
        <v>0.0</v>
      </c>
      <c r="V163" s="15" t="s">
        <v>24</v>
      </c>
    </row>
    <row r="164">
      <c r="A164" s="11">
        <v>45834.0</v>
      </c>
      <c r="B164" s="17">
        <v>1.7174024E7</v>
      </c>
      <c r="C164" s="17" t="s">
        <v>23</v>
      </c>
      <c r="D164" s="18">
        <f>+5566999943102</f>
        <v>5566999943102</v>
      </c>
      <c r="E164" s="17">
        <v>2.0</v>
      </c>
      <c r="F164" s="17">
        <v>2.0</v>
      </c>
      <c r="G164" s="17">
        <v>0.0</v>
      </c>
      <c r="H164" s="17">
        <v>0.0</v>
      </c>
      <c r="I164" s="17">
        <v>0.0</v>
      </c>
      <c r="J164" s="17">
        <v>0.0</v>
      </c>
      <c r="K164" s="17">
        <v>0.0</v>
      </c>
      <c r="L164" s="17">
        <v>0.0</v>
      </c>
      <c r="M164" s="17">
        <v>0.0</v>
      </c>
      <c r="N164" s="17">
        <v>2.0</v>
      </c>
      <c r="O164" s="17">
        <v>0.0</v>
      </c>
      <c r="P164" s="17">
        <v>1.0</v>
      </c>
      <c r="Q164" s="17">
        <v>23.75</v>
      </c>
      <c r="R164" s="17">
        <v>0.0</v>
      </c>
      <c r="S164" s="17">
        <v>0.0</v>
      </c>
      <c r="T164" s="17">
        <v>0.0</v>
      </c>
      <c r="U164" s="17">
        <v>0.0</v>
      </c>
      <c r="V164" s="17" t="s">
        <v>24</v>
      </c>
    </row>
    <row r="165">
      <c r="A165" s="11">
        <v>45835.0</v>
      </c>
      <c r="B165" s="15">
        <v>1.720766E7</v>
      </c>
      <c r="C165" s="15" t="s">
        <v>76</v>
      </c>
      <c r="D165" s="16">
        <f>+5566996417504</f>
        <v>5566996417504</v>
      </c>
      <c r="E165" s="15">
        <v>3.0</v>
      </c>
      <c r="F165" s="15">
        <v>3.0</v>
      </c>
      <c r="G165" s="15">
        <v>0.0</v>
      </c>
      <c r="H165" s="15">
        <v>0.0</v>
      </c>
      <c r="I165" s="15">
        <v>0.0</v>
      </c>
      <c r="J165" s="15">
        <v>0.0</v>
      </c>
      <c r="K165" s="15">
        <v>0.0</v>
      </c>
      <c r="L165" s="15">
        <v>0.0</v>
      </c>
      <c r="M165" s="15">
        <v>0.0</v>
      </c>
      <c r="N165" s="15">
        <v>0.0</v>
      </c>
      <c r="O165" s="15">
        <v>0.0</v>
      </c>
      <c r="P165" s="15">
        <v>1.0</v>
      </c>
      <c r="Q165" s="15">
        <v>10.5</v>
      </c>
      <c r="R165" s="15">
        <v>0.0</v>
      </c>
      <c r="S165" s="15">
        <v>0.0</v>
      </c>
      <c r="T165" s="15">
        <v>0.0</v>
      </c>
      <c r="U165" s="15">
        <v>0.0</v>
      </c>
      <c r="V165" s="15" t="s">
        <v>24</v>
      </c>
    </row>
    <row r="166">
      <c r="A166" s="11">
        <v>45835.0</v>
      </c>
      <c r="B166" s="17">
        <v>1.7109343E7</v>
      </c>
      <c r="C166" s="17" t="s">
        <v>31</v>
      </c>
      <c r="D166" s="18">
        <f>+5566996035167</f>
        <v>5566996035167</v>
      </c>
      <c r="E166" s="17">
        <v>5.0</v>
      </c>
      <c r="F166" s="17">
        <v>1.0</v>
      </c>
      <c r="G166" s="17">
        <v>0.0</v>
      </c>
      <c r="H166" s="17">
        <v>0.0</v>
      </c>
      <c r="I166" s="17">
        <v>0.0</v>
      </c>
      <c r="J166" s="17">
        <v>0.0</v>
      </c>
      <c r="K166" s="17">
        <v>0.0</v>
      </c>
      <c r="L166" s="17">
        <v>0.0</v>
      </c>
      <c r="M166" s="17">
        <v>0.0</v>
      </c>
      <c r="N166" s="17">
        <v>0.0</v>
      </c>
      <c r="O166" s="17">
        <v>0.0</v>
      </c>
      <c r="P166" s="17">
        <v>1.0</v>
      </c>
      <c r="Q166" s="17" t="s">
        <v>77</v>
      </c>
      <c r="R166" s="17">
        <v>0.0</v>
      </c>
      <c r="S166" s="17">
        <v>0.0</v>
      </c>
      <c r="T166" s="17">
        <v>0.0</v>
      </c>
      <c r="U166" s="17">
        <v>0.0</v>
      </c>
      <c r="V166" s="17" t="s">
        <v>24</v>
      </c>
    </row>
    <row r="167">
      <c r="A167" s="11">
        <v>45835.0</v>
      </c>
      <c r="B167" s="15">
        <v>1.6263441E7</v>
      </c>
      <c r="C167" s="15" t="s">
        <v>36</v>
      </c>
      <c r="D167" s="16">
        <f>+5566996115789</f>
        <v>5566996115789</v>
      </c>
      <c r="E167" s="15">
        <v>8.0</v>
      </c>
      <c r="F167" s="15">
        <v>8.0</v>
      </c>
      <c r="G167" s="15">
        <v>0.0</v>
      </c>
      <c r="H167" s="15">
        <v>0.0</v>
      </c>
      <c r="I167" s="15">
        <v>0.0</v>
      </c>
      <c r="J167" s="15">
        <v>0.0</v>
      </c>
      <c r="K167" s="15">
        <v>0.0</v>
      </c>
      <c r="L167" s="15">
        <v>0.0</v>
      </c>
      <c r="M167" s="15">
        <v>0.0</v>
      </c>
      <c r="N167" s="15">
        <v>0.0</v>
      </c>
      <c r="O167" s="15">
        <v>0.0</v>
      </c>
      <c r="P167" s="15">
        <v>1.0</v>
      </c>
      <c r="Q167" s="15">
        <v>22.25</v>
      </c>
      <c r="R167" s="15">
        <v>0.0</v>
      </c>
      <c r="S167" s="15">
        <v>0.0</v>
      </c>
      <c r="T167" s="15">
        <v>0.0</v>
      </c>
      <c r="U167" s="15">
        <v>0.0</v>
      </c>
      <c r="V167" s="15" t="s">
        <v>24</v>
      </c>
    </row>
    <row r="168">
      <c r="A168" s="11">
        <v>45836.0</v>
      </c>
      <c r="B168" s="15">
        <v>1.7174024E7</v>
      </c>
      <c r="C168" s="15" t="s">
        <v>23</v>
      </c>
      <c r="D168" s="16">
        <f>+5566999943102</f>
        <v>5566999943102</v>
      </c>
      <c r="E168" s="15">
        <v>1.0</v>
      </c>
      <c r="F168" s="15">
        <v>1.0</v>
      </c>
      <c r="G168" s="15">
        <v>0.0</v>
      </c>
      <c r="H168" s="15">
        <v>0.0</v>
      </c>
      <c r="I168" s="15">
        <v>0.0</v>
      </c>
      <c r="J168" s="15">
        <v>0.0</v>
      </c>
      <c r="K168" s="15">
        <v>0.0</v>
      </c>
      <c r="L168" s="15">
        <v>0.0</v>
      </c>
      <c r="M168" s="15">
        <v>0.0</v>
      </c>
      <c r="N168" s="15">
        <v>1.0</v>
      </c>
      <c r="O168" s="15">
        <v>0.0</v>
      </c>
      <c r="P168" s="15">
        <v>1.0</v>
      </c>
      <c r="Q168" s="15">
        <v>16.0</v>
      </c>
      <c r="R168" s="15">
        <v>0.0</v>
      </c>
      <c r="S168" s="15">
        <v>0.0</v>
      </c>
      <c r="T168" s="15">
        <v>0.0</v>
      </c>
      <c r="U168" s="15">
        <v>0.0</v>
      </c>
      <c r="V168" s="15" t="s">
        <v>24</v>
      </c>
    </row>
    <row r="169">
      <c r="A169" s="11">
        <v>45836.0</v>
      </c>
      <c r="B169" s="17">
        <v>1.7101714E7</v>
      </c>
      <c r="C169" s="17" t="s">
        <v>78</v>
      </c>
      <c r="D169" s="18">
        <f>+5566996006211</f>
        <v>5566996006211</v>
      </c>
      <c r="E169" s="17">
        <v>1.0</v>
      </c>
      <c r="F169" s="17">
        <v>1.0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1.0</v>
      </c>
      <c r="Q169" s="17">
        <v>23.75</v>
      </c>
      <c r="R169" s="17">
        <v>0.0</v>
      </c>
      <c r="S169" s="17">
        <v>0.0</v>
      </c>
      <c r="T169" s="17">
        <v>0.0</v>
      </c>
      <c r="U169" s="17">
        <v>0.0</v>
      </c>
      <c r="V169" s="17" t="s">
        <v>24</v>
      </c>
    </row>
    <row r="170">
      <c r="A170" s="11">
        <v>45838.0</v>
      </c>
      <c r="B170" s="15">
        <v>1.7174024E7</v>
      </c>
      <c r="C170" s="15" t="s">
        <v>23</v>
      </c>
      <c r="D170" s="16">
        <f>+5566999943102</f>
        <v>5566999943102</v>
      </c>
      <c r="E170" s="15">
        <v>1.0</v>
      </c>
      <c r="F170" s="15">
        <v>1.0</v>
      </c>
      <c r="G170" s="15">
        <v>0.0</v>
      </c>
      <c r="H170" s="15">
        <v>0.0</v>
      </c>
      <c r="I170" s="15">
        <v>0.0</v>
      </c>
      <c r="J170" s="15">
        <v>0.0</v>
      </c>
      <c r="K170" s="15">
        <v>0.0</v>
      </c>
      <c r="L170" s="15">
        <v>0.0</v>
      </c>
      <c r="M170" s="15">
        <v>0.0</v>
      </c>
      <c r="N170" s="15">
        <v>1.0</v>
      </c>
      <c r="O170" s="15">
        <v>0.0</v>
      </c>
      <c r="P170" s="15">
        <v>1.0</v>
      </c>
      <c r="Q170" s="15">
        <v>24.0</v>
      </c>
      <c r="R170" s="15">
        <v>0.0</v>
      </c>
      <c r="S170" s="15">
        <v>0.0</v>
      </c>
      <c r="T170" s="15">
        <v>0.0</v>
      </c>
      <c r="U170" s="15">
        <v>0.0</v>
      </c>
      <c r="V170" s="15" t="s">
        <v>24</v>
      </c>
    </row>
    <row r="171">
      <c r="A171" s="11">
        <v>45839.0</v>
      </c>
      <c r="B171" s="15">
        <v>1.7177142E7</v>
      </c>
      <c r="C171" s="15" t="s">
        <v>74</v>
      </c>
      <c r="D171" s="16">
        <f>+5566996954849</f>
        <v>5566996954849</v>
      </c>
      <c r="E171" s="15">
        <v>1.0</v>
      </c>
      <c r="F171" s="15">
        <v>1.0</v>
      </c>
      <c r="G171" s="15">
        <v>0.0</v>
      </c>
      <c r="H171" s="15">
        <v>0.0</v>
      </c>
      <c r="I171" s="15">
        <v>0.0</v>
      </c>
      <c r="J171" s="15">
        <v>0.0</v>
      </c>
      <c r="K171" s="15">
        <v>0.0</v>
      </c>
      <c r="L171" s="15">
        <v>0.0</v>
      </c>
      <c r="M171" s="15">
        <v>0.0</v>
      </c>
      <c r="N171" s="15">
        <v>0.0</v>
      </c>
      <c r="O171" s="15">
        <v>0.0</v>
      </c>
      <c r="P171" s="15">
        <v>1.0</v>
      </c>
      <c r="Q171" s="15">
        <v>17.0</v>
      </c>
      <c r="R171" s="15">
        <v>0.0</v>
      </c>
      <c r="S171" s="15">
        <v>0.0</v>
      </c>
      <c r="T171" s="15">
        <v>0.0</v>
      </c>
      <c r="U171" s="15">
        <v>0.0</v>
      </c>
      <c r="V171" s="15" t="s">
        <v>24</v>
      </c>
    </row>
    <row r="172">
      <c r="A172" s="11">
        <v>45839.0</v>
      </c>
      <c r="B172" s="17">
        <v>1.7109343E7</v>
      </c>
      <c r="C172" s="17" t="s">
        <v>31</v>
      </c>
      <c r="D172" s="18">
        <f>+5566996035167</f>
        <v>5566996035167</v>
      </c>
      <c r="E172" s="17">
        <v>1.0</v>
      </c>
      <c r="F172" s="17">
        <v>1.0</v>
      </c>
      <c r="G172" s="17">
        <v>0.0</v>
      </c>
      <c r="H172" s="17">
        <v>0.0</v>
      </c>
      <c r="I172" s="17">
        <v>0.0</v>
      </c>
      <c r="J172" s="17">
        <v>0.0</v>
      </c>
      <c r="K172" s="17">
        <v>0.0</v>
      </c>
      <c r="L172" s="17">
        <v>0.0</v>
      </c>
      <c r="M172" s="17">
        <v>0.0</v>
      </c>
      <c r="N172" s="17">
        <v>0.0</v>
      </c>
      <c r="O172" s="17">
        <v>0.0</v>
      </c>
      <c r="P172" s="17">
        <v>1.0</v>
      </c>
      <c r="Q172" s="17">
        <v>14.75</v>
      </c>
      <c r="R172" s="17">
        <v>0.0</v>
      </c>
      <c r="S172" s="17">
        <v>0.0</v>
      </c>
      <c r="T172" s="17">
        <v>0.0</v>
      </c>
      <c r="U172" s="17">
        <v>0.0</v>
      </c>
      <c r="V172" s="17" t="s">
        <v>24</v>
      </c>
    </row>
    <row r="173">
      <c r="A173" s="11">
        <v>45839.0</v>
      </c>
      <c r="B173" s="15">
        <v>1.6263441E7</v>
      </c>
      <c r="C173" s="15" t="s">
        <v>36</v>
      </c>
      <c r="D173" s="16">
        <f>+5566996115789</f>
        <v>5566996115789</v>
      </c>
      <c r="E173" s="15">
        <v>1.0</v>
      </c>
      <c r="F173" s="15">
        <v>1.0</v>
      </c>
      <c r="G173" s="15">
        <v>0.0</v>
      </c>
      <c r="H173" s="15">
        <v>0.0</v>
      </c>
      <c r="I173" s="15">
        <v>0.0</v>
      </c>
      <c r="J173" s="15">
        <v>0.0</v>
      </c>
      <c r="K173" s="15">
        <v>0.0</v>
      </c>
      <c r="L173" s="15">
        <v>0.0</v>
      </c>
      <c r="M173" s="15">
        <v>0.0</v>
      </c>
      <c r="N173" s="15">
        <v>0.0</v>
      </c>
      <c r="O173" s="15">
        <v>0.0</v>
      </c>
      <c r="P173" s="15">
        <v>1.0</v>
      </c>
      <c r="Q173" s="15">
        <v>23.0</v>
      </c>
      <c r="R173" s="15">
        <v>0.0</v>
      </c>
      <c r="S173" s="15">
        <v>0.0</v>
      </c>
      <c r="T173" s="15">
        <v>0.0</v>
      </c>
      <c r="U173" s="15">
        <v>0.0</v>
      </c>
      <c r="V173" s="15" t="s">
        <v>24</v>
      </c>
    </row>
    <row r="174">
      <c r="A174" s="11">
        <v>45839.0</v>
      </c>
      <c r="B174" s="17">
        <v>1.2146346E7</v>
      </c>
      <c r="C174" s="17" t="s">
        <v>37</v>
      </c>
      <c r="D174" s="18">
        <f>+5566996312650</f>
        <v>5566996312650</v>
      </c>
      <c r="E174" s="17">
        <v>1.0</v>
      </c>
      <c r="F174" s="17">
        <v>1.0</v>
      </c>
      <c r="G174" s="17">
        <v>0.0</v>
      </c>
      <c r="H174" s="17">
        <v>0.0</v>
      </c>
      <c r="I174" s="17">
        <v>0.0</v>
      </c>
      <c r="J174" s="17">
        <v>0.0</v>
      </c>
      <c r="K174" s="17">
        <v>0.0</v>
      </c>
      <c r="L174" s="17">
        <v>0.0</v>
      </c>
      <c r="M174" s="17">
        <v>0.0</v>
      </c>
      <c r="N174" s="17">
        <v>0.0</v>
      </c>
      <c r="O174" s="17">
        <v>0.0</v>
      </c>
      <c r="P174" s="17">
        <v>1.0</v>
      </c>
      <c r="Q174" s="17">
        <v>16.5</v>
      </c>
      <c r="R174" s="17">
        <v>0.0</v>
      </c>
      <c r="S174" s="17">
        <v>0.0</v>
      </c>
      <c r="T174" s="17">
        <v>0.0</v>
      </c>
      <c r="U174" s="17">
        <v>0.0</v>
      </c>
      <c r="V174" s="17" t="s">
        <v>24</v>
      </c>
    </row>
    <row r="175">
      <c r="A175" s="11">
        <v>45840.0</v>
      </c>
      <c r="B175" s="15">
        <v>1.720766E7</v>
      </c>
      <c r="C175" s="15" t="s">
        <v>76</v>
      </c>
      <c r="D175" s="16">
        <f>+5566996417504</f>
        <v>5566996417504</v>
      </c>
      <c r="E175" s="15">
        <v>2.0</v>
      </c>
      <c r="F175" s="15">
        <v>2.0</v>
      </c>
      <c r="G175" s="15">
        <v>0.0</v>
      </c>
      <c r="H175" s="15">
        <v>0.0</v>
      </c>
      <c r="I175" s="15">
        <v>0.0</v>
      </c>
      <c r="J175" s="15">
        <v>0.0</v>
      </c>
      <c r="K175" s="15">
        <v>0.0</v>
      </c>
      <c r="L175" s="15">
        <v>0.0</v>
      </c>
      <c r="M175" s="15">
        <v>0.0</v>
      </c>
      <c r="N175" s="15">
        <v>0.0</v>
      </c>
      <c r="O175" s="15">
        <v>0.0</v>
      </c>
      <c r="P175" s="15">
        <v>1.0</v>
      </c>
      <c r="Q175" s="15">
        <v>9.75</v>
      </c>
      <c r="R175" s="15">
        <v>0.0</v>
      </c>
      <c r="S175" s="15">
        <v>0.0</v>
      </c>
      <c r="T175" s="15">
        <v>0.0</v>
      </c>
      <c r="U175" s="15">
        <v>0.0</v>
      </c>
      <c r="V175" s="15" t="s">
        <v>24</v>
      </c>
    </row>
    <row r="176">
      <c r="A176" s="11">
        <v>45840.0</v>
      </c>
      <c r="B176" s="17">
        <v>1.7109343E7</v>
      </c>
      <c r="C176" s="17" t="s">
        <v>31</v>
      </c>
      <c r="D176" s="18">
        <f>+5566996035167</f>
        <v>5566996035167</v>
      </c>
      <c r="E176" s="17">
        <v>2.0</v>
      </c>
      <c r="F176" s="17">
        <v>0.0</v>
      </c>
      <c r="G176" s="17">
        <v>0.0</v>
      </c>
      <c r="H176" s="17">
        <v>0.0</v>
      </c>
      <c r="I176" s="17">
        <v>0.0</v>
      </c>
      <c r="J176" s="17">
        <v>0.0</v>
      </c>
      <c r="K176" s="17">
        <v>0.0</v>
      </c>
      <c r="L176" s="17">
        <v>0.0</v>
      </c>
      <c r="M176" s="17">
        <v>0.0</v>
      </c>
      <c r="N176" s="17">
        <v>0.0</v>
      </c>
      <c r="O176" s="17">
        <v>0.0</v>
      </c>
      <c r="P176" s="17">
        <v>1.0</v>
      </c>
      <c r="Q176" s="17">
        <v>19.0</v>
      </c>
      <c r="R176" s="17">
        <v>0.0</v>
      </c>
      <c r="S176" s="17">
        <v>0.0</v>
      </c>
      <c r="T176" s="17">
        <v>0.0</v>
      </c>
      <c r="U176" s="17">
        <v>0.0</v>
      </c>
      <c r="V176" s="17" t="s">
        <v>24</v>
      </c>
    </row>
    <row r="177">
      <c r="A177" s="11">
        <v>45840.0</v>
      </c>
      <c r="B177" s="15">
        <v>1.6263441E7</v>
      </c>
      <c r="C177" s="15" t="s">
        <v>36</v>
      </c>
      <c r="D177" s="16">
        <f>+5566996115789</f>
        <v>5566996115789</v>
      </c>
      <c r="E177" s="15">
        <v>2.0</v>
      </c>
      <c r="F177" s="15">
        <v>2.0</v>
      </c>
      <c r="G177" s="15">
        <v>0.0</v>
      </c>
      <c r="H177" s="15">
        <v>0.0</v>
      </c>
      <c r="I177" s="15">
        <v>0.0</v>
      </c>
      <c r="J177" s="15">
        <v>0.0</v>
      </c>
      <c r="K177" s="15">
        <v>0.0</v>
      </c>
      <c r="L177" s="15">
        <v>0.0</v>
      </c>
      <c r="M177" s="15">
        <v>0.0</v>
      </c>
      <c r="N177" s="15">
        <v>0.0</v>
      </c>
      <c r="O177" s="15">
        <v>0.0</v>
      </c>
      <c r="P177" s="15">
        <v>1.0</v>
      </c>
      <c r="Q177" s="15">
        <v>22.5</v>
      </c>
      <c r="R177" s="15">
        <v>0.0</v>
      </c>
      <c r="S177" s="15">
        <v>0.0</v>
      </c>
      <c r="T177" s="15">
        <v>0.0</v>
      </c>
      <c r="U177" s="15">
        <v>0.0</v>
      </c>
      <c r="V177" s="15" t="s">
        <v>24</v>
      </c>
    </row>
    <row r="178">
      <c r="A178" s="11">
        <v>45841.0</v>
      </c>
      <c r="B178" s="15">
        <v>1.7291892E7</v>
      </c>
      <c r="C178" s="15" t="s">
        <v>50</v>
      </c>
      <c r="D178" s="16">
        <f>+5566999146788</f>
        <v>5566999146788</v>
      </c>
      <c r="E178" s="15">
        <v>1.0</v>
      </c>
      <c r="F178" s="15">
        <v>1.0</v>
      </c>
      <c r="G178" s="15">
        <v>0.0</v>
      </c>
      <c r="H178" s="15">
        <v>0.0</v>
      </c>
      <c r="I178" s="15">
        <v>0.0</v>
      </c>
      <c r="J178" s="15">
        <v>0.0</v>
      </c>
      <c r="K178" s="15">
        <v>0.0</v>
      </c>
      <c r="L178" s="15">
        <v>0.0</v>
      </c>
      <c r="M178" s="15">
        <v>0.0</v>
      </c>
      <c r="N178" s="15">
        <v>1.0</v>
      </c>
      <c r="O178" s="15">
        <v>0.0</v>
      </c>
      <c r="P178" s="15">
        <v>1.0</v>
      </c>
      <c r="Q178" s="15">
        <v>0.5</v>
      </c>
      <c r="R178" s="15">
        <v>0.0</v>
      </c>
      <c r="S178" s="15">
        <v>0.0</v>
      </c>
      <c r="T178" s="15">
        <v>0.0</v>
      </c>
      <c r="U178" s="15">
        <v>0.0</v>
      </c>
      <c r="V178" s="15" t="s">
        <v>24</v>
      </c>
    </row>
    <row r="179">
      <c r="A179" s="11">
        <v>45841.0</v>
      </c>
      <c r="B179" s="17">
        <v>1.7177142E7</v>
      </c>
      <c r="C179" s="17" t="s">
        <v>74</v>
      </c>
      <c r="D179" s="18">
        <f>+5566996954849</f>
        <v>5566996954849</v>
      </c>
      <c r="E179" s="17">
        <v>5.0</v>
      </c>
      <c r="F179" s="17">
        <v>5.0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2.0</v>
      </c>
      <c r="O179" s="17">
        <v>1.0</v>
      </c>
      <c r="P179" s="17">
        <v>1.0</v>
      </c>
      <c r="Q179" s="17">
        <v>17.5</v>
      </c>
      <c r="R179" s="17">
        <v>0.0</v>
      </c>
      <c r="S179" s="17">
        <v>0.0</v>
      </c>
      <c r="T179" s="17">
        <v>0.0</v>
      </c>
      <c r="U179" s="17">
        <v>0.0</v>
      </c>
      <c r="V179" s="17" t="s">
        <v>24</v>
      </c>
    </row>
    <row r="180">
      <c r="A180" s="11">
        <v>45841.0</v>
      </c>
      <c r="B180" s="15">
        <v>1.7109343E7</v>
      </c>
      <c r="C180" s="15" t="s">
        <v>31</v>
      </c>
      <c r="D180" s="16">
        <f>+5566996035167</f>
        <v>5566996035167</v>
      </c>
      <c r="E180" s="15">
        <v>3.0</v>
      </c>
      <c r="F180" s="15">
        <v>3.0</v>
      </c>
      <c r="G180" s="15">
        <v>0.0</v>
      </c>
      <c r="H180" s="15">
        <v>0.0</v>
      </c>
      <c r="I180" s="15">
        <v>0.0</v>
      </c>
      <c r="J180" s="15">
        <v>1.0</v>
      </c>
      <c r="K180" s="15">
        <v>1.0</v>
      </c>
      <c r="L180" s="15">
        <v>0.0</v>
      </c>
      <c r="M180" s="15">
        <v>0.0</v>
      </c>
      <c r="N180" s="15">
        <v>0.0</v>
      </c>
      <c r="O180" s="15">
        <v>1.0</v>
      </c>
      <c r="P180" s="15">
        <v>1.0</v>
      </c>
      <c r="Q180" s="15">
        <v>22.5</v>
      </c>
      <c r="R180" s="15">
        <v>0.0</v>
      </c>
      <c r="S180" s="15">
        <v>0.0</v>
      </c>
      <c r="T180" s="15">
        <v>0.0</v>
      </c>
      <c r="U180" s="15">
        <v>0.0</v>
      </c>
      <c r="V180" s="15" t="s">
        <v>24</v>
      </c>
    </row>
    <row r="181">
      <c r="A181" s="11">
        <v>45841.0</v>
      </c>
      <c r="B181" s="17">
        <v>1.6263441E7</v>
      </c>
      <c r="C181" s="17" t="s">
        <v>36</v>
      </c>
      <c r="D181" s="18">
        <f>+5566996115789</f>
        <v>5566996115789</v>
      </c>
      <c r="E181" s="17">
        <v>4.0</v>
      </c>
      <c r="F181" s="17">
        <v>4.0</v>
      </c>
      <c r="G181" s="17">
        <v>0.0</v>
      </c>
      <c r="H181" s="17">
        <v>0.0</v>
      </c>
      <c r="I181" s="17">
        <v>0.0</v>
      </c>
      <c r="J181" s="17">
        <v>0.0</v>
      </c>
      <c r="K181" s="17">
        <v>0.0</v>
      </c>
      <c r="L181" s="17">
        <v>0.0</v>
      </c>
      <c r="M181" s="17">
        <v>2.0</v>
      </c>
      <c r="N181" s="17">
        <v>0.0</v>
      </c>
      <c r="O181" s="17">
        <v>2.0</v>
      </c>
      <c r="P181" s="17">
        <v>1.0</v>
      </c>
      <c r="Q181" s="17">
        <v>23.25</v>
      </c>
      <c r="R181" s="17">
        <v>0.0</v>
      </c>
      <c r="S181" s="17">
        <v>0.0</v>
      </c>
      <c r="T181" s="17">
        <v>0.0</v>
      </c>
      <c r="U181" s="17">
        <v>0.0</v>
      </c>
      <c r="V181" s="17" t="s">
        <v>24</v>
      </c>
    </row>
    <row r="182">
      <c r="A182" s="11">
        <v>45842.0</v>
      </c>
      <c r="B182" s="15">
        <v>1.7177142E7</v>
      </c>
      <c r="C182" s="15" t="s">
        <v>74</v>
      </c>
      <c r="D182" s="16">
        <f>+5566996954849</f>
        <v>5566996954849</v>
      </c>
      <c r="E182" s="15">
        <v>1.0</v>
      </c>
      <c r="F182" s="15">
        <v>1.0</v>
      </c>
      <c r="G182" s="15">
        <v>0.0</v>
      </c>
      <c r="H182" s="15">
        <v>0.0</v>
      </c>
      <c r="I182" s="15">
        <v>0.0</v>
      </c>
      <c r="J182" s="15">
        <v>0.0</v>
      </c>
      <c r="K182" s="15">
        <v>0.0</v>
      </c>
      <c r="L182" s="15">
        <v>0.0</v>
      </c>
      <c r="M182" s="15">
        <v>0.0</v>
      </c>
      <c r="N182" s="15">
        <v>1.0</v>
      </c>
      <c r="O182" s="15">
        <v>0.0</v>
      </c>
      <c r="P182" s="15">
        <v>1.0</v>
      </c>
      <c r="Q182" s="15">
        <v>15.25</v>
      </c>
      <c r="R182" s="15">
        <v>0.0</v>
      </c>
      <c r="S182" s="15">
        <v>0.0</v>
      </c>
      <c r="T182" s="15">
        <v>0.0</v>
      </c>
      <c r="U182" s="15">
        <v>0.0</v>
      </c>
      <c r="V182" s="15" t="s">
        <v>24</v>
      </c>
    </row>
    <row r="183">
      <c r="A183" s="11">
        <v>45842.0</v>
      </c>
      <c r="B183" s="17">
        <v>1.7174024E7</v>
      </c>
      <c r="C183" s="17" t="s">
        <v>23</v>
      </c>
      <c r="D183" s="18">
        <f>+5566999943102</f>
        <v>5566999943102</v>
      </c>
      <c r="E183" s="17">
        <v>2.0</v>
      </c>
      <c r="F183" s="17">
        <v>2.0</v>
      </c>
      <c r="G183" s="17">
        <v>0.0</v>
      </c>
      <c r="H183" s="17">
        <v>0.0</v>
      </c>
      <c r="I183" s="17">
        <v>0.0</v>
      </c>
      <c r="J183" s="17">
        <v>0.0</v>
      </c>
      <c r="K183" s="17">
        <v>0.0</v>
      </c>
      <c r="L183" s="17">
        <v>0.0</v>
      </c>
      <c r="M183" s="17">
        <v>0.0</v>
      </c>
      <c r="N183" s="17">
        <v>2.0</v>
      </c>
      <c r="O183" s="17">
        <v>0.0</v>
      </c>
      <c r="P183" s="17">
        <v>1.0</v>
      </c>
      <c r="Q183" s="17">
        <v>21.75</v>
      </c>
      <c r="R183" s="17">
        <v>0.0</v>
      </c>
      <c r="S183" s="17">
        <v>0.0</v>
      </c>
      <c r="T183" s="17">
        <v>0.0</v>
      </c>
      <c r="U183" s="17">
        <v>0.0</v>
      </c>
      <c r="V183" s="17" t="s">
        <v>24</v>
      </c>
    </row>
    <row r="184">
      <c r="A184" s="11">
        <v>45842.0</v>
      </c>
      <c r="B184" s="15">
        <v>1.7109343E7</v>
      </c>
      <c r="C184" s="15" t="s">
        <v>31</v>
      </c>
      <c r="D184" s="16">
        <f t="shared" ref="D184:D185" si="10">+5566996035167</f>
        <v>5566996035167</v>
      </c>
      <c r="E184" s="15">
        <v>1.0</v>
      </c>
      <c r="F184" s="15">
        <v>0.0</v>
      </c>
      <c r="G184" s="15">
        <v>0.0</v>
      </c>
      <c r="H184" s="15">
        <v>0.0</v>
      </c>
      <c r="I184" s="15">
        <v>0.0</v>
      </c>
      <c r="J184" s="15">
        <v>0.0</v>
      </c>
      <c r="K184" s="15">
        <v>0.0</v>
      </c>
      <c r="L184" s="15">
        <v>0.0</v>
      </c>
      <c r="M184" s="15">
        <v>0.0</v>
      </c>
      <c r="N184" s="15">
        <v>0.0</v>
      </c>
      <c r="O184" s="15">
        <v>0.0</v>
      </c>
      <c r="P184" s="15">
        <v>1.0</v>
      </c>
      <c r="Q184" s="15" t="s">
        <v>77</v>
      </c>
      <c r="R184" s="15">
        <v>0.0</v>
      </c>
      <c r="S184" s="15">
        <v>0.0</v>
      </c>
      <c r="T184" s="15">
        <v>0.0</v>
      </c>
      <c r="U184" s="15">
        <v>0.0</v>
      </c>
      <c r="V184" s="15" t="s">
        <v>24</v>
      </c>
    </row>
    <row r="185">
      <c r="A185" s="11">
        <v>45843.0</v>
      </c>
      <c r="B185" s="15">
        <v>1.7109343E7</v>
      </c>
      <c r="C185" s="15" t="s">
        <v>31</v>
      </c>
      <c r="D185" s="16">
        <f t="shared" si="10"/>
        <v>5566996035167</v>
      </c>
      <c r="E185" s="15">
        <v>3.0</v>
      </c>
      <c r="F185" s="15">
        <v>3.0</v>
      </c>
      <c r="G185" s="15">
        <v>0.0</v>
      </c>
      <c r="H185" s="15">
        <v>0.0</v>
      </c>
      <c r="I185" s="15">
        <v>0.0</v>
      </c>
      <c r="J185" s="15">
        <v>0.0</v>
      </c>
      <c r="K185" s="15">
        <v>0.0</v>
      </c>
      <c r="L185" s="15">
        <v>0.0</v>
      </c>
      <c r="M185" s="15">
        <v>0.0</v>
      </c>
      <c r="N185" s="15">
        <v>0.0</v>
      </c>
      <c r="O185" s="15">
        <v>2.0</v>
      </c>
      <c r="P185" s="15">
        <v>1.0</v>
      </c>
      <c r="Q185" s="15">
        <v>13.25</v>
      </c>
      <c r="R185" s="15">
        <v>0.0</v>
      </c>
      <c r="S185" s="15">
        <v>0.0</v>
      </c>
      <c r="T185" s="15">
        <v>0.0</v>
      </c>
      <c r="U185" s="15">
        <v>0.0</v>
      </c>
      <c r="V185" s="15" t="s">
        <v>24</v>
      </c>
    </row>
    <row r="186">
      <c r="A186" s="11">
        <v>45843.0</v>
      </c>
      <c r="B186" s="17">
        <v>1.6263441E7</v>
      </c>
      <c r="C186" s="17" t="s">
        <v>36</v>
      </c>
      <c r="D186" s="18">
        <f>+5566996115789</f>
        <v>5566996115789</v>
      </c>
      <c r="E186" s="17">
        <v>3.0</v>
      </c>
      <c r="F186" s="17">
        <v>3.0</v>
      </c>
      <c r="G186" s="17">
        <v>0.0</v>
      </c>
      <c r="H186" s="17">
        <v>0.0</v>
      </c>
      <c r="I186" s="17">
        <v>0.0</v>
      </c>
      <c r="J186" s="17">
        <v>0.0</v>
      </c>
      <c r="K186" s="17">
        <v>0.0</v>
      </c>
      <c r="L186" s="17">
        <v>0.0</v>
      </c>
      <c r="M186" s="17">
        <v>1.0</v>
      </c>
      <c r="N186" s="17">
        <v>0.0</v>
      </c>
      <c r="O186" s="17">
        <v>2.0</v>
      </c>
      <c r="P186" s="17">
        <v>1.0</v>
      </c>
      <c r="Q186" s="17">
        <v>21.0</v>
      </c>
      <c r="R186" s="17">
        <v>0.0</v>
      </c>
      <c r="S186" s="17">
        <v>0.0</v>
      </c>
      <c r="T186" s="17">
        <v>0.0</v>
      </c>
      <c r="U186" s="17">
        <v>0.0</v>
      </c>
      <c r="V186" s="17" t="s">
        <v>24</v>
      </c>
    </row>
    <row r="187">
      <c r="A187" s="11">
        <v>45844.0</v>
      </c>
      <c r="B187" s="15">
        <v>1.7174024E7</v>
      </c>
      <c r="C187" s="15" t="s">
        <v>23</v>
      </c>
      <c r="D187" s="16">
        <f t="shared" ref="D187:D188" si="11">+5566999943102</f>
        <v>5566999943102</v>
      </c>
      <c r="E187" s="15">
        <v>1.0</v>
      </c>
      <c r="F187" s="15">
        <v>1.0</v>
      </c>
      <c r="G187" s="15">
        <v>0.0</v>
      </c>
      <c r="H187" s="15">
        <v>0.0</v>
      </c>
      <c r="I187" s="15">
        <v>0.0</v>
      </c>
      <c r="J187" s="15">
        <v>0.0</v>
      </c>
      <c r="K187" s="15">
        <v>0.0</v>
      </c>
      <c r="L187" s="15">
        <v>0.0</v>
      </c>
      <c r="M187" s="15">
        <v>0.0</v>
      </c>
      <c r="N187" s="15">
        <v>1.0</v>
      </c>
      <c r="O187" s="15">
        <v>0.0</v>
      </c>
      <c r="P187" s="15">
        <v>1.0</v>
      </c>
      <c r="Q187" s="15">
        <v>7.5</v>
      </c>
      <c r="R187" s="15">
        <v>0.0</v>
      </c>
      <c r="S187" s="15">
        <v>0.0</v>
      </c>
      <c r="T187" s="15">
        <v>0.0</v>
      </c>
      <c r="U187" s="15">
        <v>0.0</v>
      </c>
      <c r="V187" s="15" t="s">
        <v>24</v>
      </c>
    </row>
    <row r="188">
      <c r="A188" s="11">
        <v>45846.0</v>
      </c>
      <c r="B188" s="15">
        <v>1.7174024E7</v>
      </c>
      <c r="C188" s="15" t="s">
        <v>23</v>
      </c>
      <c r="D188" s="16">
        <f t="shared" si="11"/>
        <v>5566999943102</v>
      </c>
      <c r="E188" s="15">
        <v>1.0</v>
      </c>
      <c r="F188" s="15">
        <v>1.0</v>
      </c>
      <c r="G188" s="15">
        <v>0.0</v>
      </c>
      <c r="H188" s="15">
        <v>0.0</v>
      </c>
      <c r="I188" s="15">
        <v>0.0</v>
      </c>
      <c r="J188" s="15">
        <v>0.0</v>
      </c>
      <c r="K188" s="15">
        <v>0.0</v>
      </c>
      <c r="L188" s="15">
        <v>0.0</v>
      </c>
      <c r="M188" s="15">
        <v>0.0</v>
      </c>
      <c r="N188" s="15">
        <v>1.0</v>
      </c>
      <c r="O188" s="15">
        <v>0.0</v>
      </c>
      <c r="P188" s="15">
        <v>1.0</v>
      </c>
      <c r="Q188" s="15">
        <v>19.0</v>
      </c>
      <c r="R188" s="15">
        <v>0.0</v>
      </c>
      <c r="S188" s="15">
        <v>0.0</v>
      </c>
      <c r="T188" s="15">
        <v>0.0</v>
      </c>
      <c r="U188" s="15">
        <v>0.0</v>
      </c>
      <c r="V188" s="15" t="s">
        <v>24</v>
      </c>
    </row>
    <row r="189">
      <c r="A189" s="11">
        <v>45849.0</v>
      </c>
      <c r="B189" s="15">
        <v>1.6263441E7</v>
      </c>
      <c r="C189" s="15" t="s">
        <v>36</v>
      </c>
      <c r="D189" s="16">
        <f t="shared" ref="D189:D190" si="12">+5566996115789</f>
        <v>5566996115789</v>
      </c>
      <c r="E189" s="15">
        <v>2.0</v>
      </c>
      <c r="F189" s="15">
        <v>2.0</v>
      </c>
      <c r="G189" s="15">
        <v>0.0</v>
      </c>
      <c r="H189" s="15">
        <v>0.0</v>
      </c>
      <c r="I189" s="15">
        <v>0.0</v>
      </c>
      <c r="J189" s="15">
        <v>0.0</v>
      </c>
      <c r="K189" s="15">
        <v>0.0</v>
      </c>
      <c r="L189" s="15">
        <v>0.0</v>
      </c>
      <c r="M189" s="15">
        <v>0.0</v>
      </c>
      <c r="N189" s="15">
        <v>0.0</v>
      </c>
      <c r="O189" s="15">
        <v>0.0</v>
      </c>
      <c r="P189" s="15">
        <v>1.0</v>
      </c>
      <c r="Q189" s="15">
        <v>23.25</v>
      </c>
      <c r="R189" s="15">
        <v>0.0</v>
      </c>
      <c r="S189" s="15">
        <v>0.0</v>
      </c>
      <c r="T189" s="15">
        <v>0.0</v>
      </c>
      <c r="U189" s="15">
        <v>0.0</v>
      </c>
      <c r="V189" s="15" t="s">
        <v>24</v>
      </c>
    </row>
    <row r="190">
      <c r="A190" s="11">
        <v>45851.0</v>
      </c>
      <c r="B190" s="15">
        <v>1.6263441E7</v>
      </c>
      <c r="C190" s="15" t="s">
        <v>36</v>
      </c>
      <c r="D190" s="16">
        <f t="shared" si="12"/>
        <v>5566996115789</v>
      </c>
      <c r="E190" s="15">
        <v>1.0</v>
      </c>
      <c r="F190" s="15">
        <v>1.0</v>
      </c>
      <c r="G190" s="15">
        <v>0.0</v>
      </c>
      <c r="H190" s="15">
        <v>0.0</v>
      </c>
      <c r="I190" s="15">
        <v>0.0</v>
      </c>
      <c r="J190" s="15">
        <v>0.0</v>
      </c>
      <c r="K190" s="15">
        <v>0.0</v>
      </c>
      <c r="L190" s="15">
        <v>0.0</v>
      </c>
      <c r="M190" s="15">
        <v>0.0</v>
      </c>
      <c r="N190" s="15">
        <v>1.0</v>
      </c>
      <c r="O190" s="15">
        <v>0.0</v>
      </c>
      <c r="P190" s="15">
        <v>1.0</v>
      </c>
      <c r="Q190" s="15">
        <v>23.5</v>
      </c>
      <c r="R190" s="15">
        <v>0.0</v>
      </c>
      <c r="S190" s="15">
        <v>0.0</v>
      </c>
      <c r="T190" s="15">
        <v>0.0</v>
      </c>
      <c r="U190" s="15">
        <v>0.0</v>
      </c>
      <c r="V190" s="15" t="s">
        <v>24</v>
      </c>
    </row>
    <row r="191">
      <c r="A191" s="11">
        <v>45852.0</v>
      </c>
      <c r="B191" s="15">
        <v>1.7177142E7</v>
      </c>
      <c r="C191" s="15" t="s">
        <v>74</v>
      </c>
      <c r="D191" s="16">
        <f>+5566996954849</f>
        <v>5566996954849</v>
      </c>
      <c r="E191" s="15">
        <v>2.0</v>
      </c>
      <c r="F191" s="15">
        <v>2.0</v>
      </c>
      <c r="G191" s="15">
        <v>0.0</v>
      </c>
      <c r="H191" s="15">
        <v>0.0</v>
      </c>
      <c r="I191" s="15">
        <v>0.0</v>
      </c>
      <c r="J191" s="15">
        <v>0.0</v>
      </c>
      <c r="K191" s="15">
        <v>0.0</v>
      </c>
      <c r="L191" s="15">
        <v>0.0</v>
      </c>
      <c r="M191" s="15">
        <v>0.0</v>
      </c>
      <c r="N191" s="15">
        <v>1.0</v>
      </c>
      <c r="O191" s="15">
        <v>0.0</v>
      </c>
      <c r="P191" s="15">
        <v>1.0</v>
      </c>
      <c r="Q191" s="15">
        <v>15.5</v>
      </c>
      <c r="R191" s="15">
        <v>0.0</v>
      </c>
      <c r="S191" s="15">
        <v>0.0</v>
      </c>
      <c r="T191" s="15">
        <v>0.0</v>
      </c>
      <c r="U191" s="15">
        <v>0.0</v>
      </c>
      <c r="V191" s="15" t="s">
        <v>24</v>
      </c>
    </row>
    <row r="192">
      <c r="A192" s="3">
        <v>45852.0</v>
      </c>
      <c r="B192" s="17">
        <v>1.6263441E7</v>
      </c>
      <c r="C192" s="17" t="s">
        <v>36</v>
      </c>
      <c r="D192" s="18">
        <f>+5566996115789</f>
        <v>5566996115789</v>
      </c>
      <c r="E192" s="17">
        <v>2.0</v>
      </c>
      <c r="F192" s="17">
        <v>2.0</v>
      </c>
      <c r="G192" s="17">
        <v>0.0</v>
      </c>
      <c r="H192" s="17">
        <v>0.0</v>
      </c>
      <c r="I192" s="17">
        <v>0.0</v>
      </c>
      <c r="J192" s="17">
        <v>0.0</v>
      </c>
      <c r="K192" s="17">
        <v>0.0</v>
      </c>
      <c r="L192" s="17">
        <v>0.0</v>
      </c>
      <c r="M192" s="17">
        <v>1.0</v>
      </c>
      <c r="N192" s="17">
        <v>0.0</v>
      </c>
      <c r="O192" s="17">
        <v>1.0</v>
      </c>
      <c r="P192" s="17">
        <v>1.0</v>
      </c>
      <c r="Q192" s="17">
        <v>23.25</v>
      </c>
      <c r="R192" s="17">
        <v>0.0</v>
      </c>
      <c r="S192" s="17">
        <v>0.0</v>
      </c>
      <c r="T192" s="17">
        <v>0.0</v>
      </c>
      <c r="U192" s="17">
        <v>0.0</v>
      </c>
      <c r="V192" s="17" t="s">
        <v>24</v>
      </c>
    </row>
    <row r="193">
      <c r="A193" s="3">
        <v>45853.0</v>
      </c>
      <c r="B193" s="15">
        <v>1.7174024E7</v>
      </c>
      <c r="C193" s="15" t="s">
        <v>23</v>
      </c>
      <c r="D193" s="16">
        <f t="shared" ref="D193:D194" si="13">+5566999943102</f>
        <v>5566999943102</v>
      </c>
      <c r="E193" s="15">
        <v>1.0</v>
      </c>
      <c r="F193" s="15">
        <v>1.0</v>
      </c>
      <c r="G193" s="15">
        <v>0.0</v>
      </c>
      <c r="H193" s="15">
        <v>0.0</v>
      </c>
      <c r="I193" s="15">
        <v>0.0</v>
      </c>
      <c r="J193" s="15">
        <v>0.0</v>
      </c>
      <c r="K193" s="15">
        <v>0.0</v>
      </c>
      <c r="L193" s="15">
        <v>0.0</v>
      </c>
      <c r="M193" s="15">
        <v>0.0</v>
      </c>
      <c r="N193" s="15">
        <v>1.0</v>
      </c>
      <c r="O193" s="15">
        <v>0.0</v>
      </c>
      <c r="P193" s="15">
        <v>1.0</v>
      </c>
      <c r="Q193" s="15">
        <v>23.25</v>
      </c>
      <c r="R193" s="15">
        <v>0.0</v>
      </c>
      <c r="S193" s="15">
        <v>0.0</v>
      </c>
      <c r="T193" s="15">
        <v>0.0</v>
      </c>
      <c r="U193" s="15">
        <v>0.0</v>
      </c>
      <c r="V193" s="15" t="s">
        <v>24</v>
      </c>
    </row>
    <row r="194">
      <c r="A194" s="3">
        <v>45855.0</v>
      </c>
      <c r="B194" s="15">
        <v>1.7174024E7</v>
      </c>
      <c r="C194" s="15" t="s">
        <v>23</v>
      </c>
      <c r="D194" s="16">
        <f t="shared" si="13"/>
        <v>5566999943102</v>
      </c>
      <c r="E194" s="15">
        <v>6.0</v>
      </c>
      <c r="F194" s="15">
        <v>6.0</v>
      </c>
      <c r="G194" s="15">
        <v>1.0</v>
      </c>
      <c r="H194" s="15">
        <v>1.0</v>
      </c>
      <c r="I194" s="15">
        <v>0.0</v>
      </c>
      <c r="J194" s="15">
        <v>2.0</v>
      </c>
      <c r="K194" s="15">
        <v>2.0</v>
      </c>
      <c r="L194" s="15">
        <v>0.0</v>
      </c>
      <c r="M194" s="15">
        <v>0.0</v>
      </c>
      <c r="N194" s="15">
        <v>3.0</v>
      </c>
      <c r="O194" s="15">
        <v>0.0</v>
      </c>
      <c r="P194" s="15">
        <v>1.0</v>
      </c>
      <c r="Q194" s="15">
        <v>18.0</v>
      </c>
      <c r="R194" s="15">
        <v>0.0</v>
      </c>
      <c r="S194" s="15">
        <v>0.0</v>
      </c>
      <c r="T194" s="15">
        <v>0.0</v>
      </c>
      <c r="U194" s="15">
        <v>0.0</v>
      </c>
      <c r="V194" s="15" t="s">
        <v>24</v>
      </c>
    </row>
    <row r="195">
      <c r="A195" s="3">
        <v>45855.0</v>
      </c>
      <c r="B195" s="17">
        <v>1.7101714E7</v>
      </c>
      <c r="C195" s="17" t="s">
        <v>78</v>
      </c>
      <c r="D195" s="18">
        <f>+5566996006211</f>
        <v>5566996006211</v>
      </c>
      <c r="E195" s="17">
        <v>1.0</v>
      </c>
      <c r="F195" s="17">
        <v>1.0</v>
      </c>
      <c r="G195" s="17">
        <v>0.0</v>
      </c>
      <c r="H195" s="17">
        <v>0.0</v>
      </c>
      <c r="I195" s="17">
        <v>0.0</v>
      </c>
      <c r="J195" s="17">
        <v>0.0</v>
      </c>
      <c r="K195" s="17">
        <v>0.0</v>
      </c>
      <c r="L195" s="17">
        <v>0.0</v>
      </c>
      <c r="M195" s="17">
        <v>1.0</v>
      </c>
      <c r="N195" s="17">
        <v>0.0</v>
      </c>
      <c r="O195" s="17">
        <v>1.0</v>
      </c>
      <c r="P195" s="17">
        <v>1.0</v>
      </c>
      <c r="Q195" s="17">
        <v>16.75</v>
      </c>
      <c r="R195" s="17">
        <v>0.0</v>
      </c>
      <c r="S195" s="17">
        <v>0.0</v>
      </c>
      <c r="T195" s="17">
        <v>0.0</v>
      </c>
      <c r="U195" s="17">
        <v>0.0</v>
      </c>
      <c r="V195" s="17" t="s">
        <v>24</v>
      </c>
    </row>
    <row r="196">
      <c r="A196" s="3">
        <v>45856.0</v>
      </c>
      <c r="B196" s="15">
        <v>1.7177142E7</v>
      </c>
      <c r="C196" s="15" t="s">
        <v>74</v>
      </c>
      <c r="D196" s="16">
        <f>+5566996954849</f>
        <v>5566996954849</v>
      </c>
      <c r="E196" s="15">
        <v>2.0</v>
      </c>
      <c r="F196" s="15">
        <v>2.0</v>
      </c>
      <c r="G196" s="15">
        <v>0.0</v>
      </c>
      <c r="H196" s="15">
        <v>0.0</v>
      </c>
      <c r="I196" s="15">
        <v>0.0</v>
      </c>
      <c r="J196" s="15">
        <v>0.0</v>
      </c>
      <c r="K196" s="15">
        <v>0.0</v>
      </c>
      <c r="L196" s="15">
        <v>0.0</v>
      </c>
      <c r="M196" s="15">
        <v>0.0</v>
      </c>
      <c r="N196" s="15">
        <v>0.0</v>
      </c>
      <c r="O196" s="15">
        <v>0.0</v>
      </c>
      <c r="P196" s="15">
        <v>1.0</v>
      </c>
      <c r="Q196" s="15">
        <v>24.0</v>
      </c>
      <c r="R196" s="15">
        <v>0.0</v>
      </c>
      <c r="S196" s="15">
        <v>0.0</v>
      </c>
      <c r="T196" s="15">
        <v>0.0</v>
      </c>
      <c r="U196" s="15">
        <v>0.0</v>
      </c>
      <c r="V196" s="15" t="s">
        <v>24</v>
      </c>
    </row>
    <row r="197">
      <c r="A197" s="3">
        <v>45856.0</v>
      </c>
      <c r="B197" s="17">
        <v>1.7109343E7</v>
      </c>
      <c r="C197" s="17" t="s">
        <v>31</v>
      </c>
      <c r="D197" s="18">
        <f>+5566996035167</f>
        <v>5566996035167</v>
      </c>
      <c r="E197" s="17">
        <v>2.0</v>
      </c>
      <c r="F197" s="17">
        <v>2.0</v>
      </c>
      <c r="G197" s="17">
        <v>0.0</v>
      </c>
      <c r="H197" s="17">
        <v>0.0</v>
      </c>
      <c r="I197" s="17">
        <v>0.0</v>
      </c>
      <c r="J197" s="17">
        <v>0.0</v>
      </c>
      <c r="K197" s="17">
        <v>0.0</v>
      </c>
      <c r="L197" s="17">
        <v>0.0</v>
      </c>
      <c r="M197" s="17">
        <v>0.0</v>
      </c>
      <c r="N197" s="17">
        <v>0.0</v>
      </c>
      <c r="O197" s="17">
        <v>0.0</v>
      </c>
      <c r="P197" s="17">
        <v>1.0</v>
      </c>
      <c r="Q197" s="17">
        <v>14.75</v>
      </c>
      <c r="R197" s="17">
        <v>0.0</v>
      </c>
      <c r="S197" s="17">
        <v>0.0</v>
      </c>
      <c r="T197" s="17">
        <v>0.0</v>
      </c>
      <c r="U197" s="17">
        <v>0.0</v>
      </c>
      <c r="V197" s="17" t="s">
        <v>24</v>
      </c>
    </row>
    <row r="198">
      <c r="A198" s="3">
        <v>45856.0</v>
      </c>
      <c r="B198" s="15">
        <v>1.6263441E7</v>
      </c>
      <c r="C198" s="15" t="s">
        <v>36</v>
      </c>
      <c r="D198" s="16">
        <f>+5566996115789</f>
        <v>5566996115789</v>
      </c>
      <c r="E198" s="15">
        <v>2.0</v>
      </c>
      <c r="F198" s="15">
        <v>2.0</v>
      </c>
      <c r="G198" s="15">
        <v>0.0</v>
      </c>
      <c r="H198" s="15">
        <v>0.0</v>
      </c>
      <c r="I198" s="15">
        <v>0.0</v>
      </c>
      <c r="J198" s="15">
        <v>0.0</v>
      </c>
      <c r="K198" s="15">
        <v>0.0</v>
      </c>
      <c r="L198" s="15">
        <v>0.0</v>
      </c>
      <c r="M198" s="15">
        <v>0.0</v>
      </c>
      <c r="N198" s="15">
        <v>0.0</v>
      </c>
      <c r="O198" s="15">
        <v>0.0</v>
      </c>
      <c r="P198" s="15">
        <v>1.0</v>
      </c>
      <c r="Q198" s="15">
        <v>23.25</v>
      </c>
      <c r="R198" s="15">
        <v>0.0</v>
      </c>
      <c r="S198" s="15">
        <v>0.0</v>
      </c>
      <c r="T198" s="15">
        <v>0.0</v>
      </c>
      <c r="U198" s="15">
        <v>0.0</v>
      </c>
      <c r="V198" s="15" t="s">
        <v>24</v>
      </c>
    </row>
    <row r="199">
      <c r="A199" s="3">
        <v>45860.0</v>
      </c>
      <c r="B199" s="15">
        <v>1.7174024E7</v>
      </c>
      <c r="C199" s="15" t="s">
        <v>23</v>
      </c>
      <c r="D199" s="16">
        <f>+5566999943102</f>
        <v>5566999943102</v>
      </c>
      <c r="E199" s="15">
        <v>3.0</v>
      </c>
      <c r="F199" s="15">
        <v>1.0</v>
      </c>
      <c r="G199" s="15">
        <v>0.0</v>
      </c>
      <c r="H199" s="15">
        <v>0.0</v>
      </c>
      <c r="I199" s="15">
        <v>0.0</v>
      </c>
      <c r="J199" s="15">
        <v>0.0</v>
      </c>
      <c r="K199" s="15">
        <v>0.0</v>
      </c>
      <c r="L199" s="15">
        <v>0.0</v>
      </c>
      <c r="M199" s="15">
        <v>0.0</v>
      </c>
      <c r="N199" s="15">
        <v>0.0</v>
      </c>
      <c r="O199" s="15">
        <v>0.0</v>
      </c>
      <c r="P199" s="15">
        <v>1.0</v>
      </c>
      <c r="Q199" s="15">
        <v>7.5</v>
      </c>
      <c r="R199" s="15">
        <v>0.0</v>
      </c>
      <c r="S199" s="15">
        <v>0.0</v>
      </c>
      <c r="T199" s="15">
        <v>0.0</v>
      </c>
      <c r="U199" s="15">
        <v>0.0</v>
      </c>
      <c r="V199" s="15" t="s">
        <v>24</v>
      </c>
    </row>
    <row r="200">
      <c r="A200" s="3">
        <v>45860.0</v>
      </c>
      <c r="B200" s="15">
        <v>1.7116809E7</v>
      </c>
      <c r="C200" s="15" t="s">
        <v>75</v>
      </c>
      <c r="D200" s="16">
        <f>+5566996708347</f>
        <v>5566996708347</v>
      </c>
      <c r="E200" s="15">
        <v>1.0</v>
      </c>
      <c r="F200" s="15">
        <v>1.0</v>
      </c>
      <c r="G200" s="15">
        <v>0.0</v>
      </c>
      <c r="H200" s="15">
        <v>0.0</v>
      </c>
      <c r="I200" s="15">
        <v>0.0</v>
      </c>
      <c r="J200" s="15">
        <v>0.0</v>
      </c>
      <c r="K200" s="15">
        <v>0.0</v>
      </c>
      <c r="L200" s="15">
        <v>0.0</v>
      </c>
      <c r="M200" s="15">
        <v>0.0</v>
      </c>
      <c r="N200" s="15">
        <v>1.0</v>
      </c>
      <c r="O200" s="15">
        <v>0.0</v>
      </c>
      <c r="P200" s="15">
        <v>1.0</v>
      </c>
      <c r="Q200" s="15">
        <v>0.75</v>
      </c>
      <c r="R200" s="15">
        <v>0.0</v>
      </c>
      <c r="S200" s="15">
        <v>0.0</v>
      </c>
      <c r="T200" s="15">
        <v>0.0</v>
      </c>
      <c r="U200" s="15">
        <v>0.0</v>
      </c>
      <c r="V200" s="15" t="s">
        <v>24</v>
      </c>
    </row>
    <row r="201">
      <c r="A201" s="3">
        <v>45862.0</v>
      </c>
      <c r="B201" s="15">
        <v>1.7174024E7</v>
      </c>
      <c r="C201" s="15" t="s">
        <v>23</v>
      </c>
      <c r="D201" s="16">
        <f>+5566999943102</f>
        <v>5566999943102</v>
      </c>
      <c r="E201" s="15">
        <v>1.0</v>
      </c>
      <c r="F201" s="15">
        <v>1.0</v>
      </c>
      <c r="G201" s="15">
        <v>0.0</v>
      </c>
      <c r="H201" s="15">
        <v>0.0</v>
      </c>
      <c r="I201" s="15">
        <v>0.0</v>
      </c>
      <c r="J201" s="15">
        <v>0.0</v>
      </c>
      <c r="K201" s="15">
        <v>0.0</v>
      </c>
      <c r="L201" s="15">
        <v>0.0</v>
      </c>
      <c r="M201" s="15">
        <v>0.0</v>
      </c>
      <c r="N201" s="15">
        <v>1.0</v>
      </c>
      <c r="O201" s="15">
        <v>0.0</v>
      </c>
      <c r="P201" s="15">
        <v>1.0</v>
      </c>
      <c r="Q201" s="15">
        <v>6.75</v>
      </c>
      <c r="R201" s="15">
        <v>0.0</v>
      </c>
      <c r="S201" s="15">
        <v>0.0</v>
      </c>
      <c r="T201" s="15">
        <v>0.0</v>
      </c>
      <c r="U201" s="15">
        <v>0.0</v>
      </c>
      <c r="V201" s="15" t="s">
        <v>24</v>
      </c>
    </row>
    <row r="202">
      <c r="A202" s="3">
        <v>45866.0</v>
      </c>
      <c r="B202" s="15">
        <v>1.7109343E7</v>
      </c>
      <c r="C202" s="15" t="s">
        <v>31</v>
      </c>
      <c r="D202" s="16">
        <f>+5566996035167</f>
        <v>5566996035167</v>
      </c>
      <c r="E202" s="15">
        <v>1.0</v>
      </c>
      <c r="F202" s="15">
        <v>1.0</v>
      </c>
      <c r="G202" s="15">
        <v>0.0</v>
      </c>
      <c r="H202" s="15">
        <v>0.0</v>
      </c>
      <c r="I202" s="15">
        <v>0.0</v>
      </c>
      <c r="J202" s="15">
        <v>0.0</v>
      </c>
      <c r="K202" s="15">
        <v>0.0</v>
      </c>
      <c r="L202" s="15">
        <v>0.0</v>
      </c>
      <c r="M202" s="15">
        <v>0.0</v>
      </c>
      <c r="N202" s="15">
        <v>0.0</v>
      </c>
      <c r="O202" s="15">
        <v>1.0</v>
      </c>
      <c r="P202" s="15">
        <v>1.0</v>
      </c>
      <c r="Q202" s="15">
        <v>18.0</v>
      </c>
      <c r="R202" s="15">
        <v>0.0</v>
      </c>
      <c r="S202" s="15">
        <v>0.0</v>
      </c>
      <c r="T202" s="15">
        <v>0.0</v>
      </c>
      <c r="U202" s="15">
        <v>0.0</v>
      </c>
      <c r="V202" s="15" t="s">
        <v>24</v>
      </c>
    </row>
    <row r="203">
      <c r="A203" s="3">
        <v>45866.0</v>
      </c>
      <c r="B203" s="17">
        <v>1.6263441E7</v>
      </c>
      <c r="C203" s="17" t="s">
        <v>36</v>
      </c>
      <c r="D203" s="18">
        <f>+5566996115789</f>
        <v>5566996115789</v>
      </c>
      <c r="E203" s="17">
        <v>1.0</v>
      </c>
      <c r="F203" s="17">
        <v>1.0</v>
      </c>
      <c r="G203" s="17">
        <v>0.0</v>
      </c>
      <c r="H203" s="17">
        <v>0.0</v>
      </c>
      <c r="I203" s="17">
        <v>0.0</v>
      </c>
      <c r="J203" s="17">
        <v>0.0</v>
      </c>
      <c r="K203" s="17">
        <v>0.0</v>
      </c>
      <c r="L203" s="17">
        <v>0.0</v>
      </c>
      <c r="M203" s="17">
        <v>1.0</v>
      </c>
      <c r="N203" s="17">
        <v>0.0</v>
      </c>
      <c r="O203" s="17">
        <v>1.0</v>
      </c>
      <c r="P203" s="17">
        <v>1.0</v>
      </c>
      <c r="Q203" s="17">
        <v>22.5</v>
      </c>
      <c r="R203" s="17">
        <v>0.0</v>
      </c>
      <c r="S203" s="17">
        <v>0.0</v>
      </c>
      <c r="T203" s="17">
        <v>0.0</v>
      </c>
      <c r="U203" s="17">
        <v>0.0</v>
      </c>
      <c r="V203" s="17" t="s">
        <v>24</v>
      </c>
    </row>
    <row r="204">
      <c r="A204" s="3">
        <v>45867.0</v>
      </c>
      <c r="B204" s="15">
        <v>1.7174024E7</v>
      </c>
      <c r="C204" s="15" t="s">
        <v>23</v>
      </c>
      <c r="D204" s="16">
        <f>+5566999943102</f>
        <v>5566999943102</v>
      </c>
      <c r="E204" s="15">
        <v>1.0</v>
      </c>
      <c r="F204" s="15">
        <v>1.0</v>
      </c>
      <c r="G204" s="15">
        <v>0.0</v>
      </c>
      <c r="H204" s="15">
        <v>0.0</v>
      </c>
      <c r="I204" s="15">
        <v>0.0</v>
      </c>
      <c r="J204" s="15">
        <v>0.0</v>
      </c>
      <c r="K204" s="15">
        <v>0.0</v>
      </c>
      <c r="L204" s="15">
        <v>0.0</v>
      </c>
      <c r="M204" s="15">
        <v>0.0</v>
      </c>
      <c r="N204" s="15">
        <v>1.0</v>
      </c>
      <c r="O204" s="15">
        <v>0.0</v>
      </c>
      <c r="P204" s="15">
        <v>1.0</v>
      </c>
      <c r="Q204" s="15">
        <v>6.75</v>
      </c>
      <c r="R204" s="15">
        <v>0.0</v>
      </c>
      <c r="S204" s="15">
        <v>0.0</v>
      </c>
      <c r="T204" s="15">
        <v>0.0</v>
      </c>
      <c r="U204" s="15">
        <v>0.0</v>
      </c>
      <c r="V204" s="15" t="s">
        <v>24</v>
      </c>
    </row>
    <row r="205">
      <c r="A205" s="3">
        <v>45870.0</v>
      </c>
      <c r="B205" s="15">
        <v>1.7177142E7</v>
      </c>
      <c r="C205" s="15" t="s">
        <v>74</v>
      </c>
      <c r="D205" s="16">
        <f>+5566996954849</f>
        <v>5566996954849</v>
      </c>
      <c r="E205" s="15">
        <v>1.0</v>
      </c>
      <c r="F205" s="15">
        <v>1.0</v>
      </c>
      <c r="G205" s="15">
        <v>0.0</v>
      </c>
      <c r="H205" s="15">
        <v>0.0</v>
      </c>
      <c r="I205" s="15">
        <v>0.0</v>
      </c>
      <c r="J205" s="15">
        <v>0.0</v>
      </c>
      <c r="K205" s="15">
        <v>0.0</v>
      </c>
      <c r="L205" s="15">
        <v>0.0</v>
      </c>
      <c r="M205" s="15">
        <v>0.0</v>
      </c>
      <c r="N205" s="15">
        <v>0.0</v>
      </c>
      <c r="O205" s="15">
        <v>0.0</v>
      </c>
      <c r="P205" s="15">
        <v>1.0</v>
      </c>
      <c r="Q205" s="15">
        <v>24.0</v>
      </c>
      <c r="R205" s="15">
        <v>0.0</v>
      </c>
      <c r="S205" s="15">
        <v>0.0</v>
      </c>
      <c r="T205" s="15">
        <v>0.0</v>
      </c>
      <c r="U205" s="15">
        <v>0.0</v>
      </c>
      <c r="V205" s="15" t="s">
        <v>24</v>
      </c>
    </row>
    <row r="206">
      <c r="A206" s="3">
        <v>45872.0</v>
      </c>
      <c r="B206" s="17">
        <v>1.6263441E7</v>
      </c>
      <c r="C206" s="17" t="s">
        <v>36</v>
      </c>
      <c r="D206" s="18">
        <f>+5566996115789</f>
        <v>5566996115789</v>
      </c>
      <c r="E206" s="17">
        <v>5.0</v>
      </c>
      <c r="F206" s="17">
        <v>5.0</v>
      </c>
      <c r="G206" s="17">
        <v>0.0</v>
      </c>
      <c r="H206" s="17">
        <v>0.0</v>
      </c>
      <c r="I206" s="17">
        <v>0.0</v>
      </c>
      <c r="J206" s="17">
        <v>0.0</v>
      </c>
      <c r="K206" s="17">
        <v>0.0</v>
      </c>
      <c r="L206" s="17">
        <v>0.0</v>
      </c>
      <c r="M206" s="17">
        <v>3.0</v>
      </c>
      <c r="N206" s="17">
        <v>0.0</v>
      </c>
      <c r="O206" s="17">
        <v>3.0</v>
      </c>
      <c r="P206" s="17">
        <v>1.0</v>
      </c>
      <c r="Q206" s="17">
        <v>22.0</v>
      </c>
      <c r="R206" s="17">
        <v>0.0</v>
      </c>
      <c r="S206" s="17">
        <v>0.0</v>
      </c>
      <c r="T206" s="17">
        <v>0.0</v>
      </c>
      <c r="U206" s="17">
        <v>0.0</v>
      </c>
      <c r="V206" s="17" t="s">
        <v>24</v>
      </c>
    </row>
    <row r="207">
      <c r="A207" s="3">
        <v>45875.0</v>
      </c>
      <c r="B207" s="15">
        <v>1.720766E7</v>
      </c>
      <c r="C207" s="15" t="s">
        <v>76</v>
      </c>
      <c r="D207" s="16">
        <f>+5566996417504</f>
        <v>5566996417504</v>
      </c>
      <c r="E207" s="15">
        <v>2.0</v>
      </c>
      <c r="F207" s="15">
        <v>2.0</v>
      </c>
      <c r="G207" s="15">
        <v>0.0</v>
      </c>
      <c r="H207" s="15">
        <v>0.0</v>
      </c>
      <c r="I207" s="15">
        <v>0.0</v>
      </c>
      <c r="J207" s="15">
        <v>0.0</v>
      </c>
      <c r="K207" s="15">
        <v>0.0</v>
      </c>
      <c r="L207" s="15">
        <v>0.0</v>
      </c>
      <c r="M207" s="15">
        <v>0.0</v>
      </c>
      <c r="N207" s="15">
        <v>0.0</v>
      </c>
      <c r="O207" s="15">
        <v>0.0</v>
      </c>
      <c r="P207" s="15">
        <v>1.0</v>
      </c>
      <c r="Q207" s="15">
        <v>17.5</v>
      </c>
      <c r="R207" s="15">
        <v>0.0</v>
      </c>
      <c r="S207" s="15">
        <v>0.0</v>
      </c>
      <c r="T207" s="15">
        <v>0.0</v>
      </c>
      <c r="U207" s="15">
        <v>0.0</v>
      </c>
      <c r="V207" s="15" t="s">
        <v>24</v>
      </c>
    </row>
    <row r="208">
      <c r="A208" s="3">
        <v>45875.0</v>
      </c>
      <c r="B208" s="17">
        <v>1.7177142E7</v>
      </c>
      <c r="C208" s="17" t="s">
        <v>74</v>
      </c>
      <c r="D208" s="18">
        <f>+5566996954849</f>
        <v>5566996954849</v>
      </c>
      <c r="E208" s="17">
        <v>2.0</v>
      </c>
      <c r="F208" s="17">
        <v>2.0</v>
      </c>
      <c r="G208" s="17">
        <v>0.0</v>
      </c>
      <c r="H208" s="17">
        <v>0.0</v>
      </c>
      <c r="I208" s="17">
        <v>0.0</v>
      </c>
      <c r="J208" s="17">
        <v>0.0</v>
      </c>
      <c r="K208" s="17">
        <v>0.0</v>
      </c>
      <c r="L208" s="17">
        <v>0.0</v>
      </c>
      <c r="M208" s="17">
        <v>0.0</v>
      </c>
      <c r="N208" s="17">
        <v>1.0</v>
      </c>
      <c r="O208" s="17">
        <v>0.0</v>
      </c>
      <c r="P208" s="17">
        <v>1.0</v>
      </c>
      <c r="Q208" s="17">
        <v>17.0</v>
      </c>
      <c r="R208" s="17">
        <v>0.0</v>
      </c>
      <c r="S208" s="17">
        <v>0.0</v>
      </c>
      <c r="T208" s="17">
        <v>0.0</v>
      </c>
      <c r="U208" s="17">
        <v>0.0</v>
      </c>
      <c r="V208" s="17" t="s">
        <v>24</v>
      </c>
    </row>
    <row r="209">
      <c r="A209" s="3">
        <v>45875.0</v>
      </c>
      <c r="B209" s="15">
        <v>1.6263441E7</v>
      </c>
      <c r="C209" s="15" t="s">
        <v>36</v>
      </c>
      <c r="D209" s="16">
        <f>+5566996115789</f>
        <v>5566996115789</v>
      </c>
      <c r="E209" s="15">
        <v>2.0</v>
      </c>
      <c r="F209" s="15">
        <v>2.0</v>
      </c>
      <c r="G209" s="15">
        <v>0.0</v>
      </c>
      <c r="H209" s="15">
        <v>0.0</v>
      </c>
      <c r="I209" s="15">
        <v>0.0</v>
      </c>
      <c r="J209" s="15">
        <v>0.0</v>
      </c>
      <c r="K209" s="15">
        <v>0.0</v>
      </c>
      <c r="L209" s="15">
        <v>0.0</v>
      </c>
      <c r="M209" s="15">
        <v>0.0</v>
      </c>
      <c r="N209" s="15">
        <v>0.0</v>
      </c>
      <c r="O209" s="15">
        <v>0.0</v>
      </c>
      <c r="P209" s="15">
        <v>1.0</v>
      </c>
      <c r="Q209" s="15">
        <v>24.0</v>
      </c>
      <c r="R209" s="15">
        <v>0.0</v>
      </c>
      <c r="S209" s="15">
        <v>0.0</v>
      </c>
      <c r="T209" s="15">
        <v>0.0</v>
      </c>
      <c r="U209" s="15">
        <v>0.0</v>
      </c>
      <c r="V209" s="15" t="s">
        <v>24</v>
      </c>
    </row>
    <row r="210">
      <c r="A210" s="3">
        <v>45882.0</v>
      </c>
      <c r="B210" s="4">
        <v>1.8181466E7</v>
      </c>
      <c r="C210" s="4" t="s">
        <v>70</v>
      </c>
      <c r="D210" s="5">
        <f t="shared" ref="D210:D211" si="14">+5566997150642</f>
        <v>5566997150642</v>
      </c>
      <c r="E210" s="4">
        <v>2.0</v>
      </c>
      <c r="F210" s="4">
        <v>2.0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 t="s">
        <v>59</v>
      </c>
      <c r="R210" s="4">
        <v>0.0</v>
      </c>
      <c r="S210" s="4">
        <v>0.0</v>
      </c>
      <c r="T210" s="4">
        <v>0.0</v>
      </c>
      <c r="U210" s="4">
        <v>0.0</v>
      </c>
      <c r="V210" s="4" t="s">
        <v>24</v>
      </c>
    </row>
    <row r="211">
      <c r="A211" s="3">
        <v>45883.0</v>
      </c>
      <c r="B211" s="4">
        <v>1.8181466E7</v>
      </c>
      <c r="C211" s="4" t="s">
        <v>70</v>
      </c>
      <c r="D211" s="5">
        <f t="shared" si="14"/>
        <v>5566997150642</v>
      </c>
      <c r="E211" s="4">
        <v>1.0</v>
      </c>
      <c r="F211" s="4">
        <v>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1.0</v>
      </c>
      <c r="Q211" s="4" t="s">
        <v>54</v>
      </c>
      <c r="R211" s="4">
        <v>0.0</v>
      </c>
      <c r="S211" s="4">
        <v>0.0</v>
      </c>
      <c r="T211" s="4">
        <v>0.0</v>
      </c>
      <c r="U211" s="4">
        <v>0.0</v>
      </c>
      <c r="V211" s="4" t="s">
        <v>24</v>
      </c>
    </row>
    <row r="212">
      <c r="A212" s="19">
        <v>45883.0</v>
      </c>
      <c r="B212" s="7">
        <v>1.7101714E7</v>
      </c>
      <c r="C212" s="7" t="s">
        <v>32</v>
      </c>
      <c r="D212" s="8">
        <f>+5566996006211</f>
        <v>5566996006211</v>
      </c>
      <c r="E212" s="7">
        <v>1.0</v>
      </c>
      <c r="F212" s="7">
        <v>1.0</v>
      </c>
      <c r="G212" s="7">
        <v>0.0</v>
      </c>
      <c r="H212" s="7">
        <v>0.0</v>
      </c>
      <c r="I212" s="7">
        <v>0.0</v>
      </c>
      <c r="J212" s="7">
        <v>1.0</v>
      </c>
      <c r="K212" s="7">
        <v>1.0</v>
      </c>
      <c r="L212" s="7">
        <v>0.0</v>
      </c>
      <c r="M212" s="7">
        <v>0.0</v>
      </c>
      <c r="N212" s="7">
        <v>0.0</v>
      </c>
      <c r="O212" s="7">
        <v>0.0</v>
      </c>
      <c r="P212" s="7">
        <v>1.0</v>
      </c>
      <c r="Q212" s="7" t="s">
        <v>79</v>
      </c>
      <c r="R212" s="7">
        <v>0.0</v>
      </c>
      <c r="S212" s="7">
        <v>0.0</v>
      </c>
      <c r="T212" s="7">
        <v>0.0</v>
      </c>
      <c r="U212" s="7">
        <v>0.0</v>
      </c>
      <c r="V212" s="7" t="s">
        <v>24</v>
      </c>
    </row>
    <row r="213">
      <c r="A213" s="19">
        <v>45884.0</v>
      </c>
      <c r="B213" s="4">
        <v>1.8181466E7</v>
      </c>
      <c r="C213" s="4" t="s">
        <v>70</v>
      </c>
      <c r="D213" s="5">
        <f>+5566997150642</f>
        <v>5566997150642</v>
      </c>
      <c r="E213" s="4">
        <v>4.0</v>
      </c>
      <c r="F213" s="4">
        <v>3.0</v>
      </c>
      <c r="G213" s="4">
        <v>3.0</v>
      </c>
      <c r="H213" s="4">
        <v>3.0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1.0</v>
      </c>
      <c r="Q213" s="4" t="s">
        <v>69</v>
      </c>
      <c r="R213" s="4">
        <v>0.0</v>
      </c>
      <c r="S213" s="4">
        <v>0.0</v>
      </c>
      <c r="T213" s="4">
        <v>0.0</v>
      </c>
      <c r="U213" s="4">
        <v>0.0</v>
      </c>
      <c r="V213" s="4" t="s">
        <v>24</v>
      </c>
    </row>
    <row r="214">
      <c r="A214" s="19">
        <v>45884.0</v>
      </c>
      <c r="B214" s="7">
        <v>1.7116809E7</v>
      </c>
      <c r="C214" s="7" t="s">
        <v>25</v>
      </c>
      <c r="D214" s="8">
        <f>+5566996708347</f>
        <v>5566996708347</v>
      </c>
      <c r="E214" s="7">
        <v>1.0</v>
      </c>
      <c r="F214" s="7">
        <v>1.0</v>
      </c>
      <c r="G214" s="7">
        <v>0.0</v>
      </c>
      <c r="H214" s="7">
        <v>0.0</v>
      </c>
      <c r="I214" s="7">
        <v>0.0</v>
      </c>
      <c r="J214" s="7">
        <v>0.0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>
        <v>1.0</v>
      </c>
      <c r="Q214" s="7">
        <v>13.0</v>
      </c>
      <c r="R214" s="7">
        <v>0.0</v>
      </c>
      <c r="S214" s="7">
        <v>0.0</v>
      </c>
      <c r="T214" s="7">
        <v>0.0</v>
      </c>
      <c r="U214" s="7">
        <v>0.0</v>
      </c>
      <c r="V214" s="7" t="s">
        <v>24</v>
      </c>
    </row>
    <row r="215">
      <c r="A215" s="19">
        <v>45884.0</v>
      </c>
      <c r="B215" s="4">
        <v>1.7101714E7</v>
      </c>
      <c r="C215" s="4" t="s">
        <v>32</v>
      </c>
      <c r="D215" s="5">
        <f>+5566996006211</f>
        <v>5566996006211</v>
      </c>
      <c r="E215" s="4">
        <v>1.0</v>
      </c>
      <c r="F215" s="4">
        <v>1.0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1.0</v>
      </c>
      <c r="Q215" s="4" t="s">
        <v>65</v>
      </c>
      <c r="R215" s="4">
        <v>0.0</v>
      </c>
      <c r="S215" s="4">
        <v>0.0</v>
      </c>
      <c r="T215" s="4">
        <v>0.0</v>
      </c>
      <c r="U215" s="4">
        <v>0.0</v>
      </c>
      <c r="V215" s="4" t="s">
        <v>24</v>
      </c>
    </row>
    <row r="216">
      <c r="A216" s="19">
        <v>45751.0</v>
      </c>
      <c r="B216" s="15">
        <v>1.7180944E7</v>
      </c>
      <c r="C216" s="15" t="s">
        <v>80</v>
      </c>
      <c r="D216" s="16">
        <f>+5566997212944</f>
        <v>5566997212944</v>
      </c>
      <c r="E216" s="15">
        <v>1.0</v>
      </c>
      <c r="F216" s="15">
        <v>1.0</v>
      </c>
      <c r="G216" s="15">
        <v>0.0</v>
      </c>
      <c r="H216" s="15">
        <v>0.0</v>
      </c>
      <c r="I216" s="15">
        <v>0.0</v>
      </c>
      <c r="J216" s="15">
        <v>0.0</v>
      </c>
      <c r="K216" s="15">
        <v>0.0</v>
      </c>
      <c r="L216" s="15">
        <v>0.0</v>
      </c>
      <c r="M216" s="15">
        <v>0.0</v>
      </c>
      <c r="N216" s="15">
        <v>0.0</v>
      </c>
      <c r="O216" s="15">
        <v>1.0</v>
      </c>
      <c r="P216" s="15">
        <v>1.0</v>
      </c>
      <c r="Q216" s="15">
        <v>10.75</v>
      </c>
      <c r="R216" s="15">
        <v>0.0</v>
      </c>
      <c r="S216" s="15">
        <v>0.0</v>
      </c>
      <c r="T216" s="15">
        <v>0.0</v>
      </c>
      <c r="U216" s="15">
        <v>0.0</v>
      </c>
      <c r="V216" s="15" t="s">
        <v>24</v>
      </c>
      <c r="W216" s="2" t="s">
        <v>81</v>
      </c>
    </row>
    <row r="217">
      <c r="A217" s="19">
        <v>45751.0</v>
      </c>
      <c r="B217" s="17">
        <v>1.7120373E7</v>
      </c>
      <c r="C217" s="17" t="s">
        <v>82</v>
      </c>
      <c r="D217" s="18">
        <f>+5564993228052</f>
        <v>5564993228052</v>
      </c>
      <c r="E217" s="17">
        <v>1.0</v>
      </c>
      <c r="F217" s="17">
        <v>1.0</v>
      </c>
      <c r="G217" s="17">
        <v>0.0</v>
      </c>
      <c r="H217" s="17">
        <v>0.0</v>
      </c>
      <c r="I217" s="17">
        <v>0.0</v>
      </c>
      <c r="J217" s="17">
        <v>0.0</v>
      </c>
      <c r="K217" s="17">
        <v>0.0</v>
      </c>
      <c r="L217" s="17">
        <v>0.0</v>
      </c>
      <c r="M217" s="17">
        <v>0.0</v>
      </c>
      <c r="N217" s="17">
        <v>0.0</v>
      </c>
      <c r="O217" s="17">
        <v>1.0</v>
      </c>
      <c r="P217" s="17">
        <v>1.0</v>
      </c>
      <c r="Q217" s="17">
        <v>23.75</v>
      </c>
      <c r="R217" s="17">
        <v>0.0</v>
      </c>
      <c r="S217" s="17">
        <v>0.0</v>
      </c>
      <c r="T217" s="17">
        <v>0.0</v>
      </c>
      <c r="U217" s="17">
        <v>0.0</v>
      </c>
      <c r="V217" s="17" t="s">
        <v>24</v>
      </c>
      <c r="W217" s="2" t="s">
        <v>81</v>
      </c>
    </row>
    <row r="218">
      <c r="A218" s="19">
        <v>45757.0</v>
      </c>
      <c r="B218" s="15">
        <v>1.7180944E7</v>
      </c>
      <c r="C218" s="15" t="s">
        <v>80</v>
      </c>
      <c r="D218" s="16">
        <f>+5566997212944</f>
        <v>5566997212944</v>
      </c>
      <c r="E218" s="15">
        <v>1.0</v>
      </c>
      <c r="F218" s="15">
        <v>1.0</v>
      </c>
      <c r="G218" s="15">
        <v>0.0</v>
      </c>
      <c r="H218" s="15">
        <v>0.0</v>
      </c>
      <c r="I218" s="15">
        <v>0.0</v>
      </c>
      <c r="J218" s="15">
        <v>0.0</v>
      </c>
      <c r="K218" s="15">
        <v>0.0</v>
      </c>
      <c r="L218" s="15">
        <v>0.0</v>
      </c>
      <c r="M218" s="15">
        <v>0.0</v>
      </c>
      <c r="N218" s="15">
        <v>0.0</v>
      </c>
      <c r="O218" s="15">
        <v>1.0</v>
      </c>
      <c r="P218" s="15">
        <v>1.0</v>
      </c>
      <c r="Q218" s="15">
        <v>23.0</v>
      </c>
      <c r="R218" s="15">
        <v>0.0</v>
      </c>
      <c r="S218" s="15">
        <v>0.0</v>
      </c>
      <c r="T218" s="15">
        <v>0.0</v>
      </c>
      <c r="U218" s="15">
        <v>0.0</v>
      </c>
      <c r="V218" s="15" t="s">
        <v>24</v>
      </c>
      <c r="W218" s="2" t="s">
        <v>81</v>
      </c>
    </row>
    <row r="219">
      <c r="A219" s="19">
        <v>45757.0</v>
      </c>
      <c r="B219" s="17">
        <v>1.7120373E7</v>
      </c>
      <c r="C219" s="17" t="s">
        <v>82</v>
      </c>
      <c r="D219" s="18">
        <f>+5564993228052</f>
        <v>5564993228052</v>
      </c>
      <c r="E219" s="17">
        <v>1.0</v>
      </c>
      <c r="F219" s="17">
        <v>1.0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1.0</v>
      </c>
      <c r="P219" s="17">
        <v>1.0</v>
      </c>
      <c r="Q219" s="17">
        <v>23.0</v>
      </c>
      <c r="R219" s="17">
        <v>0.0</v>
      </c>
      <c r="S219" s="17">
        <v>0.0</v>
      </c>
      <c r="T219" s="17">
        <v>0.0</v>
      </c>
      <c r="U219" s="17">
        <v>0.0</v>
      </c>
      <c r="V219" s="17" t="s">
        <v>24</v>
      </c>
      <c r="W219" s="2" t="s">
        <v>81</v>
      </c>
    </row>
    <row r="220">
      <c r="A220" s="19">
        <v>45760.0</v>
      </c>
      <c r="B220" s="15">
        <v>1.7180944E7</v>
      </c>
      <c r="C220" s="15" t="s">
        <v>80</v>
      </c>
      <c r="D220" s="16">
        <f>+5566997212944</f>
        <v>5566997212944</v>
      </c>
      <c r="E220" s="15">
        <v>2.0</v>
      </c>
      <c r="F220" s="15">
        <v>2.0</v>
      </c>
      <c r="G220" s="15">
        <v>0.0</v>
      </c>
      <c r="H220" s="15">
        <v>0.0</v>
      </c>
      <c r="I220" s="15">
        <v>0.0</v>
      </c>
      <c r="J220" s="15">
        <v>0.0</v>
      </c>
      <c r="K220" s="15">
        <v>0.0</v>
      </c>
      <c r="L220" s="15">
        <v>0.0</v>
      </c>
      <c r="M220" s="15">
        <v>0.0</v>
      </c>
      <c r="N220" s="15">
        <v>0.0</v>
      </c>
      <c r="O220" s="15">
        <v>1.0</v>
      </c>
      <c r="P220" s="15">
        <v>1.0</v>
      </c>
      <c r="Q220" s="15">
        <v>14.75</v>
      </c>
      <c r="R220" s="15">
        <v>0.0</v>
      </c>
      <c r="S220" s="15">
        <v>0.0</v>
      </c>
      <c r="T220" s="15">
        <v>0.0</v>
      </c>
      <c r="U220" s="15">
        <v>0.0</v>
      </c>
      <c r="V220" s="15" t="s">
        <v>24</v>
      </c>
      <c r="W220" s="2" t="s">
        <v>81</v>
      </c>
    </row>
    <row r="221">
      <c r="A221" s="19">
        <v>45760.0</v>
      </c>
      <c r="B221" s="17">
        <v>1.7157368E7</v>
      </c>
      <c r="C221" s="17" t="s">
        <v>83</v>
      </c>
      <c r="D221" s="18">
        <f>+5566996705511</f>
        <v>5566996705511</v>
      </c>
      <c r="E221" s="17">
        <v>3.0</v>
      </c>
      <c r="F221" s="17">
        <v>3.0</v>
      </c>
      <c r="G221" s="17">
        <v>0.0</v>
      </c>
      <c r="H221" s="17">
        <v>0.0</v>
      </c>
      <c r="I221" s="17">
        <v>0.0</v>
      </c>
      <c r="J221" s="17">
        <v>2.0</v>
      </c>
      <c r="K221" s="17">
        <v>2.0</v>
      </c>
      <c r="L221" s="17">
        <v>0.0</v>
      </c>
      <c r="M221" s="17">
        <v>0.0</v>
      </c>
      <c r="N221" s="17">
        <v>0.0</v>
      </c>
      <c r="O221" s="17">
        <v>1.0</v>
      </c>
      <c r="P221" s="17">
        <v>1.0</v>
      </c>
      <c r="Q221" s="17">
        <v>23.75</v>
      </c>
      <c r="R221" s="17">
        <v>0.0</v>
      </c>
      <c r="S221" s="17">
        <v>0.0</v>
      </c>
      <c r="T221" s="17">
        <v>0.0</v>
      </c>
      <c r="U221" s="17">
        <v>0.0</v>
      </c>
      <c r="V221" s="17" t="s">
        <v>24</v>
      </c>
      <c r="W221" s="2" t="s">
        <v>81</v>
      </c>
    </row>
    <row r="222">
      <c r="A222" s="19">
        <v>45760.0</v>
      </c>
      <c r="B222" s="15">
        <v>1.7120373E7</v>
      </c>
      <c r="C222" s="15" t="s">
        <v>82</v>
      </c>
      <c r="D222" s="16">
        <f>+5564993228052</f>
        <v>5564993228052</v>
      </c>
      <c r="E222" s="15">
        <v>2.0</v>
      </c>
      <c r="F222" s="15">
        <v>2.0</v>
      </c>
      <c r="G222" s="15">
        <v>0.0</v>
      </c>
      <c r="H222" s="15">
        <v>0.0</v>
      </c>
      <c r="I222" s="15">
        <v>0.0</v>
      </c>
      <c r="J222" s="15">
        <v>0.0</v>
      </c>
      <c r="K222" s="15">
        <v>0.0</v>
      </c>
      <c r="L222" s="15">
        <v>0.0</v>
      </c>
      <c r="M222" s="15">
        <v>0.0</v>
      </c>
      <c r="N222" s="15">
        <v>0.0</v>
      </c>
      <c r="O222" s="15">
        <v>1.0</v>
      </c>
      <c r="P222" s="15">
        <v>1.0</v>
      </c>
      <c r="Q222" s="15">
        <v>23.5</v>
      </c>
      <c r="R222" s="15">
        <v>0.0</v>
      </c>
      <c r="S222" s="15">
        <v>0.0</v>
      </c>
      <c r="T222" s="15">
        <v>0.0</v>
      </c>
      <c r="U222" s="15">
        <v>0.0</v>
      </c>
      <c r="V222" s="15" t="s">
        <v>24</v>
      </c>
      <c r="W222" s="2" t="s">
        <v>81</v>
      </c>
    </row>
    <row r="223">
      <c r="A223" s="19">
        <v>45764.0</v>
      </c>
      <c r="B223" s="15">
        <v>1.7157368E7</v>
      </c>
      <c r="C223" s="15" t="s">
        <v>83</v>
      </c>
      <c r="D223" s="16">
        <f>+5566996705511</f>
        <v>5566996705511</v>
      </c>
      <c r="E223" s="15">
        <v>3.0</v>
      </c>
      <c r="F223" s="15">
        <v>3.0</v>
      </c>
      <c r="G223" s="15">
        <v>0.0</v>
      </c>
      <c r="H223" s="15">
        <v>0.0</v>
      </c>
      <c r="I223" s="15">
        <v>0.0</v>
      </c>
      <c r="J223" s="15">
        <v>0.0</v>
      </c>
      <c r="K223" s="15">
        <v>0.0</v>
      </c>
      <c r="L223" s="15">
        <v>0.0</v>
      </c>
      <c r="M223" s="15">
        <v>0.0</v>
      </c>
      <c r="N223" s="15">
        <v>0.0</v>
      </c>
      <c r="O223" s="15">
        <v>0.0</v>
      </c>
      <c r="P223" s="15">
        <v>1.0</v>
      </c>
      <c r="Q223" s="15">
        <v>23.25</v>
      </c>
      <c r="R223" s="15">
        <v>0.0</v>
      </c>
      <c r="S223" s="15">
        <v>0.0</v>
      </c>
      <c r="T223" s="15">
        <v>0.0</v>
      </c>
      <c r="U223" s="15">
        <v>0.0</v>
      </c>
      <c r="V223" s="15" t="s">
        <v>24</v>
      </c>
      <c r="W223" s="2" t="s">
        <v>81</v>
      </c>
    </row>
    <row r="224">
      <c r="A224" s="19">
        <v>45764.0</v>
      </c>
      <c r="B224" s="17">
        <v>1.7120373E7</v>
      </c>
      <c r="C224" s="17" t="s">
        <v>82</v>
      </c>
      <c r="D224" s="18">
        <f>+5564993228052</f>
        <v>5564993228052</v>
      </c>
      <c r="E224" s="17">
        <v>1.0</v>
      </c>
      <c r="F224" s="17">
        <v>1.0</v>
      </c>
      <c r="G224" s="17">
        <v>0.0</v>
      </c>
      <c r="H224" s="17">
        <v>0.0</v>
      </c>
      <c r="I224" s="17">
        <v>0.0</v>
      </c>
      <c r="J224" s="17">
        <v>0.0</v>
      </c>
      <c r="K224" s="17">
        <v>0.0</v>
      </c>
      <c r="L224" s="17">
        <v>0.0</v>
      </c>
      <c r="M224" s="17">
        <v>0.0</v>
      </c>
      <c r="N224" s="17">
        <v>0.0</v>
      </c>
      <c r="O224" s="17">
        <v>0.0</v>
      </c>
      <c r="P224" s="17">
        <v>1.0</v>
      </c>
      <c r="Q224" s="17">
        <v>17.5</v>
      </c>
      <c r="R224" s="17">
        <v>0.0</v>
      </c>
      <c r="S224" s="17">
        <v>0.0</v>
      </c>
      <c r="T224" s="17">
        <v>0.0</v>
      </c>
      <c r="U224" s="17">
        <v>0.0</v>
      </c>
      <c r="V224" s="17" t="s">
        <v>24</v>
      </c>
      <c r="W224" s="2" t="s">
        <v>81</v>
      </c>
    </row>
    <row r="225">
      <c r="A225" s="19">
        <v>45764.0</v>
      </c>
      <c r="B225" s="15">
        <v>1.709392E7</v>
      </c>
      <c r="C225" s="15" t="s">
        <v>84</v>
      </c>
      <c r="D225" s="16">
        <f>+5566999692058</f>
        <v>5566999692058</v>
      </c>
      <c r="E225" s="15">
        <v>4.0</v>
      </c>
      <c r="F225" s="15">
        <v>4.0</v>
      </c>
      <c r="G225" s="15">
        <v>0.0</v>
      </c>
      <c r="H225" s="15">
        <v>0.0</v>
      </c>
      <c r="I225" s="15">
        <v>0.0</v>
      </c>
      <c r="J225" s="15">
        <v>2.0</v>
      </c>
      <c r="K225" s="15">
        <v>2.0</v>
      </c>
      <c r="L225" s="15">
        <v>0.0</v>
      </c>
      <c r="M225" s="15">
        <v>0.0</v>
      </c>
      <c r="N225" s="15">
        <v>1.0</v>
      </c>
      <c r="O225" s="15">
        <v>0.0</v>
      </c>
      <c r="P225" s="15">
        <v>1.0</v>
      </c>
      <c r="Q225" s="15">
        <v>3.0</v>
      </c>
      <c r="R225" s="15">
        <v>0.0</v>
      </c>
      <c r="S225" s="15">
        <v>0.0</v>
      </c>
      <c r="T225" s="15">
        <v>0.0</v>
      </c>
      <c r="U225" s="15">
        <v>0.0</v>
      </c>
      <c r="V225" s="15" t="s">
        <v>24</v>
      </c>
      <c r="W225" s="2" t="s">
        <v>81</v>
      </c>
    </row>
    <row r="226">
      <c r="A226" s="19">
        <v>45771.0</v>
      </c>
      <c r="B226" s="15">
        <v>1.7157368E7</v>
      </c>
      <c r="C226" s="15" t="s">
        <v>83</v>
      </c>
      <c r="D226" s="16">
        <f t="shared" ref="D226:D227" si="15">+5566996705511</f>
        <v>5566996705511</v>
      </c>
      <c r="E226" s="15">
        <v>2.0</v>
      </c>
      <c r="F226" s="15">
        <v>2.0</v>
      </c>
      <c r="G226" s="15">
        <v>0.0</v>
      </c>
      <c r="H226" s="15">
        <v>0.0</v>
      </c>
      <c r="I226" s="15">
        <v>0.0</v>
      </c>
      <c r="J226" s="15">
        <v>0.0</v>
      </c>
      <c r="K226" s="15">
        <v>0.0</v>
      </c>
      <c r="L226" s="15">
        <v>0.0</v>
      </c>
      <c r="M226" s="15">
        <v>0.0</v>
      </c>
      <c r="N226" s="15">
        <v>1.0</v>
      </c>
      <c r="O226" s="15">
        <v>0.0</v>
      </c>
      <c r="P226" s="15">
        <v>1.0</v>
      </c>
      <c r="Q226" s="15">
        <v>4.0</v>
      </c>
      <c r="R226" s="15">
        <v>0.0</v>
      </c>
      <c r="S226" s="15">
        <v>0.0</v>
      </c>
      <c r="T226" s="15">
        <v>0.0</v>
      </c>
      <c r="U226" s="15">
        <v>0.0</v>
      </c>
      <c r="V226" s="15" t="s">
        <v>24</v>
      </c>
      <c r="W226" s="2" t="s">
        <v>81</v>
      </c>
    </row>
    <row r="227">
      <c r="A227" s="19">
        <v>45773.0</v>
      </c>
      <c r="B227" s="15">
        <v>1.7157368E7</v>
      </c>
      <c r="C227" s="15" t="s">
        <v>83</v>
      </c>
      <c r="D227" s="16">
        <f t="shared" si="15"/>
        <v>5566996705511</v>
      </c>
      <c r="E227" s="15">
        <v>1.0</v>
      </c>
      <c r="F227" s="15">
        <v>1.0</v>
      </c>
      <c r="G227" s="15">
        <v>0.0</v>
      </c>
      <c r="H227" s="15">
        <v>0.0</v>
      </c>
      <c r="I227" s="15">
        <v>0.0</v>
      </c>
      <c r="J227" s="15">
        <v>0.0</v>
      </c>
      <c r="K227" s="15">
        <v>0.0</v>
      </c>
      <c r="L227" s="15">
        <v>0.0</v>
      </c>
      <c r="M227" s="15">
        <v>0.0</v>
      </c>
      <c r="N227" s="15">
        <v>0.0</v>
      </c>
      <c r="O227" s="15">
        <v>1.0</v>
      </c>
      <c r="P227" s="15">
        <v>1.0</v>
      </c>
      <c r="Q227" s="15">
        <v>21.75</v>
      </c>
      <c r="R227" s="15">
        <v>0.0</v>
      </c>
      <c r="S227" s="15">
        <v>0.0</v>
      </c>
      <c r="T227" s="15">
        <v>0.0</v>
      </c>
      <c r="U227" s="15">
        <v>0.0</v>
      </c>
      <c r="V227" s="15" t="s">
        <v>24</v>
      </c>
      <c r="W227" s="2" t="s">
        <v>81</v>
      </c>
    </row>
    <row r="228">
      <c r="A228" s="19">
        <v>45782.0</v>
      </c>
      <c r="B228" s="15">
        <v>1.7180944E7</v>
      </c>
      <c r="C228" s="15" t="s">
        <v>80</v>
      </c>
      <c r="D228" s="16">
        <f>+5566997212944</f>
        <v>5566997212944</v>
      </c>
      <c r="E228" s="15">
        <v>2.0</v>
      </c>
      <c r="F228" s="15">
        <v>2.0</v>
      </c>
      <c r="G228" s="15">
        <v>0.0</v>
      </c>
      <c r="H228" s="15">
        <v>0.0</v>
      </c>
      <c r="I228" s="15">
        <v>0.0</v>
      </c>
      <c r="J228" s="15">
        <v>1.0</v>
      </c>
      <c r="K228" s="15">
        <v>1.0</v>
      </c>
      <c r="L228" s="15">
        <v>0.0</v>
      </c>
      <c r="M228" s="15">
        <v>0.0</v>
      </c>
      <c r="N228" s="15">
        <v>1.0</v>
      </c>
      <c r="O228" s="15">
        <v>0.0</v>
      </c>
      <c r="P228" s="15">
        <v>1.0</v>
      </c>
      <c r="Q228" s="15">
        <v>13.0</v>
      </c>
      <c r="R228" s="15">
        <v>0.0</v>
      </c>
      <c r="S228" s="15">
        <v>0.0</v>
      </c>
      <c r="T228" s="15">
        <v>0.0</v>
      </c>
      <c r="U228" s="15">
        <v>0.0</v>
      </c>
      <c r="V228" s="15" t="s">
        <v>24</v>
      </c>
      <c r="W228" s="2" t="s">
        <v>81</v>
      </c>
    </row>
    <row r="229">
      <c r="A229" s="19">
        <v>45785.0</v>
      </c>
      <c r="B229" s="15">
        <v>1.7291892E7</v>
      </c>
      <c r="C229" s="15" t="s">
        <v>50</v>
      </c>
      <c r="D229" s="16">
        <f>+5566999146788</f>
        <v>5566999146788</v>
      </c>
      <c r="E229" s="15">
        <v>5.0</v>
      </c>
      <c r="F229" s="15">
        <v>5.0</v>
      </c>
      <c r="G229" s="15">
        <v>0.0</v>
      </c>
      <c r="H229" s="15">
        <v>0.0</v>
      </c>
      <c r="I229" s="15">
        <v>0.0</v>
      </c>
      <c r="J229" s="15">
        <v>1.0</v>
      </c>
      <c r="K229" s="15">
        <v>1.0</v>
      </c>
      <c r="L229" s="15">
        <v>0.0</v>
      </c>
      <c r="M229" s="15">
        <v>0.0</v>
      </c>
      <c r="N229" s="15">
        <v>0.0</v>
      </c>
      <c r="O229" s="15">
        <v>0.0</v>
      </c>
      <c r="P229" s="15">
        <v>1.0</v>
      </c>
      <c r="Q229" s="15">
        <v>10.5</v>
      </c>
      <c r="R229" s="15">
        <v>0.0</v>
      </c>
      <c r="S229" s="15">
        <v>0.0</v>
      </c>
      <c r="T229" s="15">
        <v>0.0</v>
      </c>
      <c r="U229" s="15">
        <v>0.0</v>
      </c>
      <c r="V229" s="15" t="s">
        <v>24</v>
      </c>
      <c r="W229" s="2" t="s">
        <v>81</v>
      </c>
    </row>
    <row r="230">
      <c r="A230" s="19">
        <v>45785.0</v>
      </c>
      <c r="B230" s="17">
        <v>1.7180944E7</v>
      </c>
      <c r="C230" s="17" t="s">
        <v>80</v>
      </c>
      <c r="D230" s="18">
        <f t="shared" ref="D230:D231" si="16">+5566997212944</f>
        <v>5566997212944</v>
      </c>
      <c r="E230" s="17">
        <v>8.0</v>
      </c>
      <c r="F230" s="17">
        <v>8.0</v>
      </c>
      <c r="G230" s="17">
        <v>0.0</v>
      </c>
      <c r="H230" s="17">
        <v>0.0</v>
      </c>
      <c r="I230" s="17">
        <v>0.0</v>
      </c>
      <c r="J230" s="17">
        <v>2.0</v>
      </c>
      <c r="K230" s="17">
        <v>2.0</v>
      </c>
      <c r="L230" s="17">
        <v>0.0</v>
      </c>
      <c r="M230" s="17">
        <v>0.0</v>
      </c>
      <c r="N230" s="17">
        <v>1.0</v>
      </c>
      <c r="O230" s="17">
        <v>2.0</v>
      </c>
      <c r="P230" s="17">
        <v>1.0</v>
      </c>
      <c r="Q230" s="17">
        <v>13.25</v>
      </c>
      <c r="R230" s="17">
        <v>0.0</v>
      </c>
      <c r="S230" s="17">
        <v>0.0</v>
      </c>
      <c r="T230" s="17">
        <v>0.0</v>
      </c>
      <c r="U230" s="17">
        <v>0.0</v>
      </c>
      <c r="V230" s="17" t="s">
        <v>24</v>
      </c>
      <c r="W230" s="2" t="s">
        <v>81</v>
      </c>
    </row>
    <row r="231">
      <c r="A231" s="19">
        <v>45787.0</v>
      </c>
      <c r="B231" s="15">
        <v>1.7180944E7</v>
      </c>
      <c r="C231" s="15" t="s">
        <v>80</v>
      </c>
      <c r="D231" s="16">
        <f t="shared" si="16"/>
        <v>5566997212944</v>
      </c>
      <c r="E231" s="15">
        <v>1.0</v>
      </c>
      <c r="F231" s="15">
        <v>1.0</v>
      </c>
      <c r="G231" s="15">
        <v>0.0</v>
      </c>
      <c r="H231" s="15">
        <v>0.0</v>
      </c>
      <c r="I231" s="15">
        <v>0.0</v>
      </c>
      <c r="J231" s="15">
        <v>0.0</v>
      </c>
      <c r="K231" s="15">
        <v>0.0</v>
      </c>
      <c r="L231" s="15">
        <v>0.0</v>
      </c>
      <c r="M231" s="15">
        <v>0.0</v>
      </c>
      <c r="N231" s="15">
        <v>1.0</v>
      </c>
      <c r="O231" s="15">
        <v>0.0</v>
      </c>
      <c r="P231" s="15">
        <v>1.0</v>
      </c>
      <c r="Q231" s="15">
        <v>19.25</v>
      </c>
      <c r="R231" s="15">
        <v>0.0</v>
      </c>
      <c r="S231" s="15">
        <v>0.0</v>
      </c>
      <c r="T231" s="15">
        <v>0.0</v>
      </c>
      <c r="U231" s="15">
        <v>0.0</v>
      </c>
      <c r="V231" s="15" t="s">
        <v>24</v>
      </c>
      <c r="W231" s="2" t="s">
        <v>81</v>
      </c>
    </row>
    <row r="232">
      <c r="A232" s="19">
        <v>45787.0</v>
      </c>
      <c r="B232" s="17">
        <v>1.7157368E7</v>
      </c>
      <c r="C232" s="17" t="s">
        <v>83</v>
      </c>
      <c r="D232" s="18">
        <f>+5566996705511</f>
        <v>5566996705511</v>
      </c>
      <c r="E232" s="17">
        <v>1.0</v>
      </c>
      <c r="F232" s="17">
        <v>1.0</v>
      </c>
      <c r="G232" s="17">
        <v>0.0</v>
      </c>
      <c r="H232" s="17">
        <v>0.0</v>
      </c>
      <c r="I232" s="17">
        <v>0.0</v>
      </c>
      <c r="J232" s="17">
        <v>0.0</v>
      </c>
      <c r="K232" s="17">
        <v>0.0</v>
      </c>
      <c r="L232" s="17">
        <v>0.0</v>
      </c>
      <c r="M232" s="17">
        <v>0.0</v>
      </c>
      <c r="N232" s="17">
        <v>0.0</v>
      </c>
      <c r="O232" s="17">
        <v>0.0</v>
      </c>
      <c r="P232" s="17">
        <v>1.0</v>
      </c>
      <c r="Q232" s="17">
        <v>23.5</v>
      </c>
      <c r="R232" s="17">
        <v>0.0</v>
      </c>
      <c r="S232" s="17">
        <v>0.0</v>
      </c>
      <c r="T232" s="17">
        <v>0.0</v>
      </c>
      <c r="U232" s="17">
        <v>0.0</v>
      </c>
      <c r="V232" s="17" t="s">
        <v>24</v>
      </c>
      <c r="W232" s="2" t="s">
        <v>81</v>
      </c>
    </row>
    <row r="233">
      <c r="A233" s="19">
        <v>45787.0</v>
      </c>
      <c r="B233" s="15">
        <v>1.7120373E7</v>
      </c>
      <c r="C233" s="15" t="s">
        <v>82</v>
      </c>
      <c r="D233" s="16">
        <f>+5564993228052</f>
        <v>5564993228052</v>
      </c>
      <c r="E233" s="15">
        <v>1.0</v>
      </c>
      <c r="F233" s="15">
        <v>1.0</v>
      </c>
      <c r="G233" s="15">
        <v>0.0</v>
      </c>
      <c r="H233" s="15">
        <v>0.0</v>
      </c>
      <c r="I233" s="15">
        <v>0.0</v>
      </c>
      <c r="J233" s="15">
        <v>0.0</v>
      </c>
      <c r="K233" s="15">
        <v>0.0</v>
      </c>
      <c r="L233" s="15">
        <v>0.0</v>
      </c>
      <c r="M233" s="15">
        <v>0.0</v>
      </c>
      <c r="N233" s="15">
        <v>0.0</v>
      </c>
      <c r="O233" s="15">
        <v>0.0</v>
      </c>
      <c r="P233" s="15">
        <v>1.0</v>
      </c>
      <c r="Q233" s="15">
        <v>5.0</v>
      </c>
      <c r="R233" s="15">
        <v>0.0</v>
      </c>
      <c r="S233" s="15">
        <v>0.0</v>
      </c>
      <c r="T233" s="15">
        <v>0.0</v>
      </c>
      <c r="U233" s="15">
        <v>0.0</v>
      </c>
      <c r="V233" s="15" t="s">
        <v>24</v>
      </c>
      <c r="W233" s="2" t="s">
        <v>81</v>
      </c>
    </row>
    <row r="234">
      <c r="A234" s="19">
        <v>45788.0</v>
      </c>
      <c r="B234" s="15">
        <v>1.7180944E7</v>
      </c>
      <c r="C234" s="15" t="s">
        <v>80</v>
      </c>
      <c r="D234" s="16">
        <f t="shared" ref="D234:D237" si="17">+5566997212944</f>
        <v>5566997212944</v>
      </c>
      <c r="E234" s="15">
        <v>1.0</v>
      </c>
      <c r="F234" s="15">
        <v>1.0</v>
      </c>
      <c r="G234" s="15">
        <v>0.0</v>
      </c>
      <c r="H234" s="15">
        <v>0.0</v>
      </c>
      <c r="I234" s="15">
        <v>0.0</v>
      </c>
      <c r="J234" s="15">
        <v>1.0</v>
      </c>
      <c r="K234" s="15">
        <v>1.0</v>
      </c>
      <c r="L234" s="15">
        <v>0.0</v>
      </c>
      <c r="M234" s="15">
        <v>0.0</v>
      </c>
      <c r="N234" s="15">
        <v>0.0</v>
      </c>
      <c r="O234" s="15">
        <v>0.0</v>
      </c>
      <c r="P234" s="15">
        <v>1.0</v>
      </c>
      <c r="Q234" s="15">
        <v>22.0</v>
      </c>
      <c r="R234" s="15">
        <v>0.0</v>
      </c>
      <c r="S234" s="15">
        <v>0.0</v>
      </c>
      <c r="T234" s="15">
        <v>0.0</v>
      </c>
      <c r="U234" s="15">
        <v>0.0</v>
      </c>
      <c r="V234" s="15" t="s">
        <v>24</v>
      </c>
      <c r="W234" s="2" t="s">
        <v>81</v>
      </c>
    </row>
    <row r="235">
      <c r="A235" s="19">
        <v>45789.0</v>
      </c>
      <c r="B235" s="15">
        <v>1.7180944E7</v>
      </c>
      <c r="C235" s="15" t="s">
        <v>80</v>
      </c>
      <c r="D235" s="16">
        <f t="shared" si="17"/>
        <v>5566997212944</v>
      </c>
      <c r="E235" s="15">
        <v>1.0</v>
      </c>
      <c r="F235" s="15">
        <v>1.0</v>
      </c>
      <c r="G235" s="15">
        <v>0.0</v>
      </c>
      <c r="H235" s="15">
        <v>0.0</v>
      </c>
      <c r="I235" s="15">
        <v>0.0</v>
      </c>
      <c r="J235" s="15">
        <v>0.0</v>
      </c>
      <c r="K235" s="15">
        <v>0.0</v>
      </c>
      <c r="L235" s="15">
        <v>0.0</v>
      </c>
      <c r="M235" s="15">
        <v>0.0</v>
      </c>
      <c r="N235" s="15">
        <v>1.0</v>
      </c>
      <c r="O235" s="15">
        <v>0.0</v>
      </c>
      <c r="P235" s="15">
        <v>1.0</v>
      </c>
      <c r="Q235" s="15">
        <v>23.75</v>
      </c>
      <c r="R235" s="15">
        <v>0.0</v>
      </c>
      <c r="S235" s="15">
        <v>0.0</v>
      </c>
      <c r="T235" s="15">
        <v>0.0</v>
      </c>
      <c r="U235" s="15">
        <v>0.0</v>
      </c>
      <c r="V235" s="15" t="s">
        <v>24</v>
      </c>
      <c r="W235" s="2" t="s">
        <v>81</v>
      </c>
    </row>
    <row r="236">
      <c r="A236" s="19">
        <v>45790.0</v>
      </c>
      <c r="B236" s="15">
        <v>1.7180944E7</v>
      </c>
      <c r="C236" s="15" t="s">
        <v>80</v>
      </c>
      <c r="D236" s="16">
        <f t="shared" si="17"/>
        <v>5566997212944</v>
      </c>
      <c r="E236" s="15">
        <v>1.0</v>
      </c>
      <c r="F236" s="15">
        <v>1.0</v>
      </c>
      <c r="G236" s="15">
        <v>0.0</v>
      </c>
      <c r="H236" s="15">
        <v>0.0</v>
      </c>
      <c r="I236" s="15">
        <v>0.0</v>
      </c>
      <c r="J236" s="15">
        <v>0.0</v>
      </c>
      <c r="K236" s="15">
        <v>0.0</v>
      </c>
      <c r="L236" s="15">
        <v>0.0</v>
      </c>
      <c r="M236" s="15">
        <v>0.0</v>
      </c>
      <c r="N236" s="15">
        <v>1.0</v>
      </c>
      <c r="O236" s="15">
        <v>0.0</v>
      </c>
      <c r="P236" s="15">
        <v>1.0</v>
      </c>
      <c r="Q236" s="15">
        <v>23.75</v>
      </c>
      <c r="R236" s="15">
        <v>0.0</v>
      </c>
      <c r="S236" s="15">
        <v>0.0</v>
      </c>
      <c r="T236" s="15">
        <v>0.0</v>
      </c>
      <c r="U236" s="15">
        <v>0.0</v>
      </c>
      <c r="V236" s="15" t="s">
        <v>24</v>
      </c>
      <c r="W236" s="2" t="s">
        <v>81</v>
      </c>
    </row>
    <row r="237">
      <c r="A237" s="19">
        <v>45792.0</v>
      </c>
      <c r="B237" s="15">
        <v>1.7180944E7</v>
      </c>
      <c r="C237" s="15" t="s">
        <v>80</v>
      </c>
      <c r="D237" s="16">
        <f t="shared" si="17"/>
        <v>5566997212944</v>
      </c>
      <c r="E237" s="15">
        <v>1.0</v>
      </c>
      <c r="F237" s="15">
        <v>1.0</v>
      </c>
      <c r="G237" s="15">
        <v>0.0</v>
      </c>
      <c r="H237" s="15">
        <v>0.0</v>
      </c>
      <c r="I237" s="15">
        <v>0.0</v>
      </c>
      <c r="J237" s="15">
        <v>0.0</v>
      </c>
      <c r="K237" s="15">
        <v>0.0</v>
      </c>
      <c r="L237" s="15">
        <v>0.0</v>
      </c>
      <c r="M237" s="15">
        <v>0.0</v>
      </c>
      <c r="N237" s="15">
        <v>1.0</v>
      </c>
      <c r="O237" s="15">
        <v>0.0</v>
      </c>
      <c r="P237" s="15">
        <v>1.0</v>
      </c>
      <c r="Q237" s="15">
        <v>23.5</v>
      </c>
      <c r="R237" s="15">
        <v>0.0</v>
      </c>
      <c r="S237" s="15">
        <v>0.0</v>
      </c>
      <c r="T237" s="15">
        <v>0.0</v>
      </c>
      <c r="U237" s="15">
        <v>0.0</v>
      </c>
      <c r="V237" s="15" t="s">
        <v>24</v>
      </c>
      <c r="W237" s="2" t="s">
        <v>81</v>
      </c>
    </row>
    <row r="238">
      <c r="A238" s="19">
        <v>45793.0</v>
      </c>
      <c r="B238" s="4">
        <v>1.7120373E7</v>
      </c>
      <c r="C238" s="4" t="s">
        <v>82</v>
      </c>
      <c r="D238" s="5">
        <f>+5564993228052</f>
        <v>5564993228052</v>
      </c>
      <c r="E238" s="4">
        <v>1.0</v>
      </c>
      <c r="F238" s="4">
        <v>1.0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1.0</v>
      </c>
      <c r="Q238" s="6">
        <v>45790.0</v>
      </c>
      <c r="R238" s="4">
        <v>0.0</v>
      </c>
      <c r="S238" s="4">
        <v>0.0</v>
      </c>
      <c r="T238" s="4">
        <v>0.0</v>
      </c>
      <c r="U238" s="4">
        <v>0.0</v>
      </c>
      <c r="V238" s="4" t="s">
        <v>24</v>
      </c>
      <c r="W238" s="2" t="s">
        <v>81</v>
      </c>
    </row>
    <row r="239">
      <c r="A239" s="19">
        <v>45795.0</v>
      </c>
      <c r="B239" s="4">
        <v>1.7180944E7</v>
      </c>
      <c r="C239" s="4" t="s">
        <v>80</v>
      </c>
      <c r="D239" s="5">
        <f t="shared" ref="D239:D240" si="18">+5566997212944</f>
        <v>5566997212944</v>
      </c>
      <c r="E239" s="4">
        <v>1.0</v>
      </c>
      <c r="F239" s="4">
        <v>1.0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1.0</v>
      </c>
      <c r="Q239" s="4" t="s">
        <v>62</v>
      </c>
      <c r="R239" s="4">
        <v>0.0</v>
      </c>
      <c r="S239" s="4">
        <v>0.0</v>
      </c>
      <c r="T239" s="4">
        <v>0.0</v>
      </c>
      <c r="U239" s="4">
        <v>0.0</v>
      </c>
      <c r="V239" s="4" t="s">
        <v>24</v>
      </c>
      <c r="W239" s="2" t="s">
        <v>81</v>
      </c>
    </row>
    <row r="240">
      <c r="A240" s="19">
        <v>45796.0</v>
      </c>
      <c r="B240" s="4">
        <v>1.7180944E7</v>
      </c>
      <c r="C240" s="4" t="s">
        <v>80</v>
      </c>
      <c r="D240" s="5">
        <f t="shared" si="18"/>
        <v>5566997212944</v>
      </c>
      <c r="E240" s="4">
        <v>1.0</v>
      </c>
      <c r="F240" s="4">
        <v>1.0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1.0</v>
      </c>
      <c r="Q240" s="6">
        <v>45800.0</v>
      </c>
      <c r="R240" s="4">
        <v>0.0</v>
      </c>
      <c r="S240" s="4">
        <v>0.0</v>
      </c>
      <c r="T240" s="4">
        <v>0.0</v>
      </c>
      <c r="U240" s="4">
        <v>0.0</v>
      </c>
      <c r="V240" s="4" t="s">
        <v>24</v>
      </c>
      <c r="W240" s="2" t="s">
        <v>81</v>
      </c>
    </row>
    <row r="241">
      <c r="A241" s="19">
        <v>45797.0</v>
      </c>
      <c r="B241" s="4">
        <v>1.7157368E7</v>
      </c>
      <c r="C241" s="4" t="s">
        <v>83</v>
      </c>
      <c r="D241" s="5">
        <f t="shared" ref="D241:D242" si="19">+5566996705511</f>
        <v>5566996705511</v>
      </c>
      <c r="E241" s="4">
        <v>8.0</v>
      </c>
      <c r="F241" s="4">
        <v>7.0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1.0</v>
      </c>
      <c r="P241" s="4">
        <v>1.0</v>
      </c>
      <c r="Q241" s="4" t="s">
        <v>66</v>
      </c>
      <c r="R241" s="4">
        <v>0.0</v>
      </c>
      <c r="S241" s="4">
        <v>0.0</v>
      </c>
      <c r="T241" s="4">
        <v>0.0</v>
      </c>
      <c r="U241" s="4">
        <v>0.0</v>
      </c>
      <c r="V241" s="4" t="s">
        <v>24</v>
      </c>
      <c r="W241" s="2" t="s">
        <v>81</v>
      </c>
    </row>
    <row r="242">
      <c r="A242" s="19">
        <v>45798.0</v>
      </c>
      <c r="B242" s="4">
        <v>1.7157368E7</v>
      </c>
      <c r="C242" s="4" t="s">
        <v>83</v>
      </c>
      <c r="D242" s="5">
        <f t="shared" si="19"/>
        <v>5566996705511</v>
      </c>
      <c r="E242" s="4">
        <v>8.0</v>
      </c>
      <c r="F242" s="4">
        <v>7.0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1.0</v>
      </c>
      <c r="P242" s="4">
        <v>1.0</v>
      </c>
      <c r="Q242" s="4" t="s">
        <v>66</v>
      </c>
      <c r="R242" s="4">
        <v>0.0</v>
      </c>
      <c r="S242" s="4">
        <v>0.0</v>
      </c>
      <c r="T242" s="4">
        <v>0.0</v>
      </c>
      <c r="U242" s="4">
        <v>0.0</v>
      </c>
      <c r="V242" s="4" t="s">
        <v>24</v>
      </c>
      <c r="W242" s="2" t="s">
        <v>81</v>
      </c>
    </row>
    <row r="243">
      <c r="A243" s="19">
        <v>45805.0</v>
      </c>
      <c r="B243" s="4">
        <v>1.7180944E7</v>
      </c>
      <c r="C243" s="4" t="s">
        <v>80</v>
      </c>
      <c r="D243" s="5">
        <f>+5566997212944</f>
        <v>5566997212944</v>
      </c>
      <c r="E243" s="4">
        <v>1.0</v>
      </c>
      <c r="F243" s="4">
        <v>1.0</v>
      </c>
      <c r="G243" s="4">
        <v>1.0</v>
      </c>
      <c r="H243" s="4">
        <v>1.0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 t="s">
        <v>39</v>
      </c>
      <c r="R243" s="4">
        <v>0.0</v>
      </c>
      <c r="S243" s="4">
        <v>0.0</v>
      </c>
      <c r="T243" s="4">
        <v>0.0</v>
      </c>
      <c r="U243" s="4">
        <v>0.0</v>
      </c>
      <c r="V243" s="4" t="s">
        <v>24</v>
      </c>
      <c r="W243" s="2" t="s">
        <v>81</v>
      </c>
    </row>
    <row r="244">
      <c r="A244" s="19">
        <v>45805.0</v>
      </c>
      <c r="B244" s="7">
        <v>1.7157368E7</v>
      </c>
      <c r="C244" s="7" t="s">
        <v>83</v>
      </c>
      <c r="D244" s="8">
        <f>+5566996705511</f>
        <v>5566996705511</v>
      </c>
      <c r="E244" s="7">
        <v>1.0</v>
      </c>
      <c r="F244" s="7">
        <v>1.0</v>
      </c>
      <c r="G244" s="7">
        <v>0.0</v>
      </c>
      <c r="H244" s="7">
        <v>0.0</v>
      </c>
      <c r="I244" s="7">
        <v>0.0</v>
      </c>
      <c r="J244" s="7">
        <v>0.0</v>
      </c>
      <c r="K244" s="7">
        <v>0.0</v>
      </c>
      <c r="L244" s="7">
        <v>0.0</v>
      </c>
      <c r="M244" s="7">
        <v>0.0</v>
      </c>
      <c r="N244" s="7">
        <v>0.0</v>
      </c>
      <c r="O244" s="7">
        <v>1.0</v>
      </c>
      <c r="P244" s="7">
        <v>1.0</v>
      </c>
      <c r="Q244" s="7" t="s">
        <v>85</v>
      </c>
      <c r="R244" s="7">
        <v>0.0</v>
      </c>
      <c r="S244" s="7">
        <v>0.0</v>
      </c>
      <c r="T244" s="7">
        <v>0.0</v>
      </c>
      <c r="U244" s="7">
        <v>0.0</v>
      </c>
      <c r="V244" s="7" t="s">
        <v>24</v>
      </c>
      <c r="W244" s="2" t="s">
        <v>81</v>
      </c>
    </row>
    <row r="245">
      <c r="A245" s="19">
        <v>45808.0</v>
      </c>
      <c r="B245" s="4">
        <v>1.7180944E7</v>
      </c>
      <c r="C245" s="4" t="s">
        <v>80</v>
      </c>
      <c r="D245" s="5">
        <f>+5566997212944</f>
        <v>5566997212944</v>
      </c>
      <c r="E245" s="4">
        <v>2.0</v>
      </c>
      <c r="F245" s="4">
        <v>2.0</v>
      </c>
      <c r="G245" s="4">
        <v>1.0</v>
      </c>
      <c r="H245" s="4">
        <v>1.0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1.0</v>
      </c>
      <c r="Q245" s="4">
        <v>6.0</v>
      </c>
      <c r="R245" s="4">
        <v>0.0</v>
      </c>
      <c r="S245" s="4">
        <v>0.0</v>
      </c>
      <c r="T245" s="4">
        <v>0.0</v>
      </c>
      <c r="U245" s="4">
        <v>0.0</v>
      </c>
      <c r="V245" s="4" t="s">
        <v>24</v>
      </c>
      <c r="W245" s="2" t="s">
        <v>81</v>
      </c>
    </row>
    <row r="246">
      <c r="A246" s="19">
        <v>45808.0</v>
      </c>
      <c r="B246" s="7">
        <v>1.7157368E7</v>
      </c>
      <c r="C246" s="7" t="s">
        <v>83</v>
      </c>
      <c r="D246" s="8">
        <f>+5566996705511</f>
        <v>5566996705511</v>
      </c>
      <c r="E246" s="7">
        <v>1.0</v>
      </c>
      <c r="F246" s="7">
        <v>1.0</v>
      </c>
      <c r="G246" s="7">
        <v>0.0</v>
      </c>
      <c r="H246" s="7">
        <v>0.0</v>
      </c>
      <c r="I246" s="7">
        <v>0.0</v>
      </c>
      <c r="J246" s="7">
        <v>0.0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>
        <v>1.0</v>
      </c>
      <c r="Q246" s="7" t="s">
        <v>47</v>
      </c>
      <c r="R246" s="7">
        <v>0.0</v>
      </c>
      <c r="S246" s="7">
        <v>0.0</v>
      </c>
      <c r="T246" s="7">
        <v>0.0</v>
      </c>
      <c r="U246" s="7">
        <v>0.0</v>
      </c>
      <c r="V246" s="7" t="s">
        <v>24</v>
      </c>
      <c r="W246" s="2" t="s">
        <v>81</v>
      </c>
    </row>
    <row r="247" ht="21.0" customHeight="1">
      <c r="A247" s="19">
        <v>45820.0</v>
      </c>
      <c r="B247" s="4">
        <v>1.709392E7</v>
      </c>
      <c r="C247" s="4" t="s">
        <v>84</v>
      </c>
      <c r="D247" s="5">
        <f>+5566999692058</f>
        <v>5566999692058</v>
      </c>
      <c r="E247" s="4">
        <v>1.0</v>
      </c>
      <c r="F247" s="4">
        <v>1.0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1.0</v>
      </c>
      <c r="O247" s="4">
        <v>0.0</v>
      </c>
      <c r="P247" s="4">
        <v>1.0</v>
      </c>
      <c r="Q247" s="4" t="s">
        <v>86</v>
      </c>
      <c r="R247" s="4">
        <v>0.0</v>
      </c>
      <c r="S247" s="4">
        <v>0.0</v>
      </c>
      <c r="T247" s="4">
        <v>0.0</v>
      </c>
      <c r="U247" s="4">
        <v>0.0</v>
      </c>
      <c r="V247" s="4" t="s">
        <v>24</v>
      </c>
      <c r="W247" s="2" t="s">
        <v>81</v>
      </c>
    </row>
    <row r="248">
      <c r="A248" s="20">
        <v>45886.0</v>
      </c>
      <c r="B248" s="21">
        <v>1.8181466E7</v>
      </c>
      <c r="C248" s="22" t="s">
        <v>70</v>
      </c>
      <c r="D248" s="21">
        <f>+5566997150642</f>
        <v>5566997150642</v>
      </c>
      <c r="E248" s="21">
        <v>1.0</v>
      </c>
      <c r="F248" s="21">
        <v>1.0</v>
      </c>
      <c r="G248" s="21">
        <v>1.0</v>
      </c>
      <c r="H248" s="21">
        <v>1.0</v>
      </c>
      <c r="I248" s="21">
        <v>0.0</v>
      </c>
      <c r="J248" s="21">
        <v>0.0</v>
      </c>
      <c r="K248" s="21">
        <v>0.0</v>
      </c>
      <c r="L248" s="21">
        <v>0.0</v>
      </c>
      <c r="M248" s="21">
        <v>0.0</v>
      </c>
      <c r="N248" s="21">
        <v>0.0</v>
      </c>
      <c r="O248" s="21">
        <v>0.0</v>
      </c>
      <c r="P248" s="21">
        <v>1.0</v>
      </c>
      <c r="Q248" s="21" t="s">
        <v>62</v>
      </c>
      <c r="R248" s="21">
        <v>0.0</v>
      </c>
      <c r="S248" s="21">
        <v>0.0</v>
      </c>
      <c r="T248" s="21">
        <v>0.0</v>
      </c>
      <c r="U248" s="21">
        <v>0.0</v>
      </c>
      <c r="V248" s="22" t="s">
        <v>24</v>
      </c>
      <c r="W248" s="23"/>
      <c r="X248" s="23" t="s">
        <v>87</v>
      </c>
      <c r="Y248" s="23"/>
      <c r="Z248" s="23"/>
      <c r="AA248" s="23"/>
      <c r="AB248" s="23"/>
    </row>
    <row r="249">
      <c r="A249" s="24">
        <v>45886.0</v>
      </c>
      <c r="B249" s="25">
        <v>1.720766E7</v>
      </c>
      <c r="C249" s="26" t="s">
        <v>60</v>
      </c>
      <c r="D249" s="25">
        <f>+5566996417504</f>
        <v>5566996417504</v>
      </c>
      <c r="E249" s="25">
        <v>4.0</v>
      </c>
      <c r="F249" s="25">
        <v>4.0</v>
      </c>
      <c r="G249" s="25">
        <v>0.0</v>
      </c>
      <c r="H249" s="25">
        <v>0.0</v>
      </c>
      <c r="I249" s="25">
        <v>0.0</v>
      </c>
      <c r="J249" s="25">
        <v>0.0</v>
      </c>
      <c r="K249" s="25">
        <v>0.0</v>
      </c>
      <c r="L249" s="25">
        <v>0.0</v>
      </c>
      <c r="M249" s="25">
        <v>0.0</v>
      </c>
      <c r="N249" s="25">
        <v>1.0</v>
      </c>
      <c r="O249" s="25">
        <v>1.0</v>
      </c>
      <c r="P249" s="27">
        <v>1.0</v>
      </c>
      <c r="Q249" s="27">
        <v>45800.0</v>
      </c>
      <c r="R249" s="25">
        <v>0.0</v>
      </c>
      <c r="S249" s="25">
        <v>0.0</v>
      </c>
      <c r="T249" s="25">
        <v>0.0</v>
      </c>
      <c r="U249" s="25">
        <v>0.0</v>
      </c>
      <c r="V249" s="26" t="s">
        <v>24</v>
      </c>
      <c r="W249" s="23"/>
      <c r="X249" s="23"/>
      <c r="Y249" s="23"/>
      <c r="Z249" s="23"/>
      <c r="AA249" s="23"/>
      <c r="AB249" s="23"/>
    </row>
    <row r="250">
      <c r="A250" s="20">
        <v>45886.0</v>
      </c>
      <c r="B250" s="21">
        <v>1.7177142E7</v>
      </c>
      <c r="C250" s="22" t="s">
        <v>38</v>
      </c>
      <c r="D250" s="21">
        <f>+5566996954849</f>
        <v>5566996954849</v>
      </c>
      <c r="E250" s="21">
        <v>2.0</v>
      </c>
      <c r="F250" s="21">
        <v>2.0</v>
      </c>
      <c r="G250" s="21">
        <v>0.0</v>
      </c>
      <c r="H250" s="21">
        <v>0.0</v>
      </c>
      <c r="I250" s="21">
        <v>0.0</v>
      </c>
      <c r="J250" s="21">
        <v>0.0</v>
      </c>
      <c r="K250" s="21">
        <v>0.0</v>
      </c>
      <c r="L250" s="21">
        <v>0.0</v>
      </c>
      <c r="M250" s="21">
        <v>0.0</v>
      </c>
      <c r="N250" s="21">
        <v>0.0</v>
      </c>
      <c r="O250" s="21">
        <v>0.0</v>
      </c>
      <c r="P250" s="28">
        <v>1.0</v>
      </c>
      <c r="Q250" s="28">
        <v>45800.0</v>
      </c>
      <c r="R250" s="21">
        <v>0.0</v>
      </c>
      <c r="S250" s="21">
        <v>0.0</v>
      </c>
      <c r="T250" s="21">
        <v>0.0</v>
      </c>
      <c r="U250" s="21">
        <v>0.0</v>
      </c>
      <c r="V250" s="22" t="s">
        <v>24</v>
      </c>
      <c r="W250" s="23"/>
      <c r="X250" s="23"/>
      <c r="Y250" s="23"/>
      <c r="Z250" s="23"/>
      <c r="AA250" s="23"/>
      <c r="AB250" s="23"/>
    </row>
    <row r="251">
      <c r="A251" s="24">
        <v>45886.0</v>
      </c>
      <c r="B251" s="25">
        <v>1.7109343E7</v>
      </c>
      <c r="C251" s="26" t="s">
        <v>31</v>
      </c>
      <c r="D251" s="25">
        <f>+5566996035167</f>
        <v>5566996035167</v>
      </c>
      <c r="E251" s="25">
        <v>2.0</v>
      </c>
      <c r="F251" s="25">
        <v>2.0</v>
      </c>
      <c r="G251" s="25">
        <v>0.0</v>
      </c>
      <c r="H251" s="25">
        <v>0.0</v>
      </c>
      <c r="I251" s="25">
        <v>0.0</v>
      </c>
      <c r="J251" s="25">
        <v>0.0</v>
      </c>
      <c r="K251" s="25">
        <v>0.0</v>
      </c>
      <c r="L251" s="25">
        <v>0.0</v>
      </c>
      <c r="M251" s="25">
        <v>1.0</v>
      </c>
      <c r="N251" s="25">
        <v>0.0</v>
      </c>
      <c r="O251" s="25">
        <v>1.0</v>
      </c>
      <c r="P251" s="27">
        <v>1.0</v>
      </c>
      <c r="Q251" s="27">
        <v>45791.0</v>
      </c>
      <c r="R251" s="25">
        <v>0.0</v>
      </c>
      <c r="S251" s="25">
        <v>0.0</v>
      </c>
      <c r="T251" s="25">
        <v>0.0</v>
      </c>
      <c r="U251" s="25">
        <v>0.0</v>
      </c>
      <c r="V251" s="26" t="s">
        <v>24</v>
      </c>
      <c r="W251" s="23"/>
      <c r="X251" s="23"/>
      <c r="Y251" s="23"/>
      <c r="Z251" s="23"/>
      <c r="AA251" s="23"/>
      <c r="AB251" s="23"/>
    </row>
    <row r="252">
      <c r="A252" s="19">
        <v>45887.0</v>
      </c>
      <c r="B252" s="15">
        <v>1.8181466E7</v>
      </c>
      <c r="C252" s="15" t="s">
        <v>88</v>
      </c>
      <c r="D252" s="16">
        <f>+5566997150642</f>
        <v>5566997150642</v>
      </c>
      <c r="E252" s="15">
        <v>1.0</v>
      </c>
      <c r="F252" s="15">
        <v>1.0</v>
      </c>
      <c r="G252" s="15">
        <v>0.0</v>
      </c>
      <c r="H252" s="15">
        <v>0.0</v>
      </c>
      <c r="I252" s="15">
        <v>0.0</v>
      </c>
      <c r="J252" s="15">
        <v>0.0</v>
      </c>
      <c r="K252" s="15">
        <v>0.0</v>
      </c>
      <c r="L252" s="15">
        <v>0.0</v>
      </c>
      <c r="M252" s="15">
        <v>0.0</v>
      </c>
      <c r="N252" s="15">
        <v>0.0</v>
      </c>
      <c r="O252" s="15">
        <v>0.0</v>
      </c>
      <c r="P252" s="15">
        <v>1.0</v>
      </c>
      <c r="Q252" s="15">
        <v>14.75</v>
      </c>
      <c r="R252" s="15">
        <v>0.0</v>
      </c>
      <c r="S252" s="15">
        <v>0.0</v>
      </c>
      <c r="T252" s="15">
        <v>0.0</v>
      </c>
      <c r="U252" s="15">
        <v>0.0</v>
      </c>
      <c r="V252" s="15" t="s">
        <v>24</v>
      </c>
    </row>
    <row r="253">
      <c r="A253" s="19">
        <v>45887.0</v>
      </c>
      <c r="B253" s="17">
        <v>1.7101714E7</v>
      </c>
      <c r="C253" s="17" t="s">
        <v>78</v>
      </c>
      <c r="D253" s="18">
        <f>+5566996006211</f>
        <v>5566996006211</v>
      </c>
      <c r="E253" s="17">
        <v>1.0</v>
      </c>
      <c r="F253" s="17">
        <v>1.0</v>
      </c>
      <c r="G253" s="17">
        <v>0.0</v>
      </c>
      <c r="H253" s="17">
        <v>0.0</v>
      </c>
      <c r="I253" s="17">
        <v>0.0</v>
      </c>
      <c r="J253" s="17">
        <v>0.0</v>
      </c>
      <c r="K253" s="17">
        <v>0.0</v>
      </c>
      <c r="L253" s="17">
        <v>0.0</v>
      </c>
      <c r="M253" s="17">
        <v>0.0</v>
      </c>
      <c r="N253" s="17">
        <v>1.0</v>
      </c>
      <c r="O253" s="17">
        <v>0.0</v>
      </c>
      <c r="P253" s="17">
        <v>1.0</v>
      </c>
      <c r="Q253" s="17">
        <v>13.25</v>
      </c>
      <c r="R253" s="17">
        <v>0.0</v>
      </c>
      <c r="S253" s="17">
        <v>0.0</v>
      </c>
      <c r="T253" s="17">
        <v>0.0</v>
      </c>
      <c r="U253" s="17">
        <v>0.0</v>
      </c>
      <c r="V253" s="17" t="s">
        <v>24</v>
      </c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