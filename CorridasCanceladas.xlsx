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CELLED RIDES" sheetId="1" r:id="rId4"/>
    <sheet state="visible" name="CANCELLED REQUESTS" sheetId="2" r:id="rId5"/>
    <sheet state="visible" name="Página3" sheetId="3" r:id="rId6"/>
  </sheets>
  <definedNames/>
  <calcPr/>
</workbook>
</file>

<file path=xl/sharedStrings.xml><?xml version="1.0" encoding="utf-8"?>
<sst xmlns="http://schemas.openxmlformats.org/spreadsheetml/2006/main" count="913" uniqueCount="175">
  <si>
    <t>Engagement ID</t>
  </si>
  <si>
    <t>Driver Id</t>
  </si>
  <si>
    <t>Name</t>
  </si>
  <si>
    <t>User Id</t>
  </si>
  <si>
    <t>User Phone No.</t>
  </si>
  <si>
    <t>User Name</t>
  </si>
  <si>
    <t>Vehicle Type</t>
  </si>
  <si>
    <t>Pickup</t>
  </si>
  <si>
    <t>Drop</t>
  </si>
  <si>
    <t>Pickup Time</t>
  </si>
  <si>
    <t>Drop Time</t>
  </si>
  <si>
    <t>Request Time</t>
  </si>
  <si>
    <t>Reason</t>
  </si>
  <si>
    <t>Status</t>
  </si>
  <si>
    <t>Schedule Id</t>
  </si>
  <si>
    <t>Manual Ride</t>
  </si>
  <si>
    <t>Action</t>
  </si>
  <si>
    <t>City</t>
  </si>
  <si>
    <t>Rogério Gelcivan</t>
  </si>
  <si>
    <t>valdiceia santos silva</t>
  </si>
  <si>
    <t>POPULAR</t>
  </si>
  <si>
    <t>R. Corumbá, 390 - Santa Izabel, Peixoto de Azevedo - MT</t>
  </si>
  <si>
    <t>--</t>
  </si>
  <si>
    <t>teste de aplicativo</t>
  </si>
  <si>
    <t>Cancelado pelo motorista</t>
  </si>
  <si>
    <t>Passeio manual</t>
  </si>
  <si>
    <t>PEIXOTO</t>
  </si>
  <si>
    <t>Usuário</t>
  </si>
  <si>
    <t>teste</t>
  </si>
  <si>
    <t>R. Teotônio Vilela, 198 - Centro Novo, Peixoto de Azevedo - MT, 78530-000, Brasil</t>
  </si>
  <si>
    <t>Não é possível contatar o cliente</t>
  </si>
  <si>
    <t>R. Piauí, 118 – Mãe de Deus, Peixoto de Azevedo – MT</t>
  </si>
  <si>
    <t>testando aplicativo</t>
  </si>
  <si>
    <t>Kayna Vitor</t>
  </si>
  <si>
    <t>R. Piauí, 142 – Mãe de Deus, Peixoto de Azevedo – MT</t>
  </si>
  <si>
    <t>Frank Da Silva Araújo Araújo</t>
  </si>
  <si>
    <t>R. B 3, 515 – Jerusalém, Peixoto de Azevedo – MT</t>
  </si>
  <si>
    <t>32 Ciretran Peixoto de Azevedo - Rua Pedro Álvares Cabral - Centro, Peixoto de Azevedo - Estado de Mato Grosso, Brasil</t>
  </si>
  <si>
    <t>R. Argentina, 36 – Mãe de Deus, Peixoto de Azevedo – MT</t>
  </si>
  <si>
    <t>Elisângela</t>
  </si>
  <si>
    <t>R. Piauí, 134 – Mãe de Deus, Peixoto de Azevedo – MT</t>
  </si>
  <si>
    <t>aplicativo demora responder</t>
  </si>
  <si>
    <t>R. Paraguai, 706 – Mãe de Deus, Peixoto de Azevedo – MT</t>
  </si>
  <si>
    <t>cliente não ativou.a localização</t>
  </si>
  <si>
    <t>Weslei Martins de Souza</t>
  </si>
  <si>
    <t>Renatia Barroso Da Silva</t>
  </si>
  <si>
    <t>Avenida Maranhão, 864, Liberdade, Peixoto de Azevedo, Mato Grosso</t>
  </si>
  <si>
    <t>Auto Posto Ponto Certo - Aeroporto, Peixoto de Azevedo - Estado de Mato Grosso, Brasil</t>
  </si>
  <si>
    <t>não consegui iniciar a corrida</t>
  </si>
  <si>
    <t>Marciokaskelis</t>
  </si>
  <si>
    <t>OFEREÇA SEU PREÇO</t>
  </si>
  <si>
    <t xml:space="preserve">465, Rua Santa Isabel, Aeroporto, Peixoto de Azevedo, Brasil, </t>
  </si>
  <si>
    <t>Banco Bradesco - Agência 1646 - Rua Thiago Magalhães Nunes - Industrial, Peixoto de Azevedo - Estado</t>
  </si>
  <si>
    <t>O motorista está longe</t>
  </si>
  <si>
    <t>Solicitação cancelada pelo cliente</t>
  </si>
  <si>
    <t>Banco Bradesco - Agência 1646 - Rua Thiago Magalhães Nunes - Industrial, Peixoto de Azevedo - Estado de Mato Grosso, Brasil</t>
  </si>
  <si>
    <t>Geison Rafael Da Silva</t>
  </si>
  <si>
    <t xml:space="preserve">13b Rua 09, Alto dos lagos, Matupá, Brasil, </t>
  </si>
  <si>
    <t>13b Rua 09, Alto dos lagos, Matupá, Brasil, Próximo à estação de esgoto</t>
  </si>
  <si>
    <t>estou ocupado</t>
  </si>
  <si>
    <t>MATUPA</t>
  </si>
  <si>
    <t xml:space="preserve">465, Rua Santa Isabel, Aeroporto, Peixoto de Azevedo, </t>
  </si>
  <si>
    <t>Sicredi - Avenida Brasil - Centro, Peixoto de Azevedo - Estado de Mato Grosso, Brasil</t>
  </si>
  <si>
    <t>não consegui encerrar no aplicativo</t>
  </si>
  <si>
    <t>A distância de levantamento é superior ao esperado</t>
  </si>
  <si>
    <t>Jessika Mendes</t>
  </si>
  <si>
    <t>Rua S Joana Angélica de Jesus, 12, Industrial, Peixoto de Azevedo, Mato Grosso</t>
  </si>
  <si>
    <t>882, Rua Argentina, Mãe de Deus, Peixoto de Azevedo, Brasil, Em frente à escola são Pedro</t>
  </si>
  <si>
    <t>Kauani Ferreira Araújo</t>
  </si>
  <si>
    <t>Av. Rotary Internacional, 3220 – Santa Izabel, Peixoto de Azevedo – MT</t>
  </si>
  <si>
    <t>R. Júlio Campos - Centro Antigo, Peixoto de Azevedo - MT, 78530-000, Brasil</t>
  </si>
  <si>
    <t>Marco Moreira</t>
  </si>
  <si>
    <t>Rua Caetano, 47, Santa Izabel, Peixoto de Azevedo, Mato Grosso</t>
  </si>
  <si>
    <t>Camelo GastroBar Matupá - Rua 22 H-2, Matupá - Mato Grosso, Brasil</t>
  </si>
  <si>
    <t>Raquel De Sousa Reis</t>
  </si>
  <si>
    <t>Rua Madureira, 235, Liberdade, Peixoto de Azevedo, Mato Grosso</t>
  </si>
  <si>
    <t>Rua Madureira, 213, Liberdade, Peixoto de Azevedo, Mato Grosso</t>
  </si>
  <si>
    <t>Isaac Almeida Silva Almeida</t>
  </si>
  <si>
    <t>Rua Caetano, 32, Santa Izabel, Peixoto de Azevedo, Mato Grosso</t>
  </si>
  <si>
    <t>Rádio Conti ~94,9 - Avenida Itamar Dias - Centro Novo, Peixoto de Azevedo - Estado de Mato Grosso, Brasil</t>
  </si>
  <si>
    <t>Krys Laine Rodrigues</t>
  </si>
  <si>
    <t>Rua 01 H5 bairro Cidade Alta, Matupá, Matupá, Brasil, Próximo ao bar ponto certo</t>
  </si>
  <si>
    <t>Creche tia calcita Pinheiro - União, Matupá - Estado de Mato Grosso, Brasil</t>
  </si>
  <si>
    <t>User</t>
  </si>
  <si>
    <t>R. Pedro Álvares Cabral, 1281 - Jerusalém, Peixoto de Azevedo - MT</t>
  </si>
  <si>
    <t>cliente não quis baixar o app</t>
  </si>
  <si>
    <t>R. Alagoas, 591 - Liberdade, Peixoto de Azevedo - MT</t>
  </si>
  <si>
    <t>Não é possível contactar o cliente</t>
  </si>
  <si>
    <t>Rua Quatorze, 360, União, Matupá, Mato Grosso, Brasil</t>
  </si>
  <si>
    <t>Eletromóveis Martinello - Avenida Brasil - Centro, Peixoto de Azevedo - State of Mato Grosso, Brazil</t>
  </si>
  <si>
    <t>Já solicitei outro serviço</t>
  </si>
  <si>
    <t>R. 6 H-3, 325, Matupá - MT</t>
  </si>
  <si>
    <t>Avenida Lions Internacional, 700, Nova Esperança, Peixoto de Azevedo, Mato Grosso</t>
  </si>
  <si>
    <t>Rodoviaria Peixoto De Azevedo - Avenida Rotary Internacional - Aeroporto, Peixoto de Azevedo - State of Mato Grosso, Brazil</t>
  </si>
  <si>
    <t>Previ um tempo mais curto</t>
  </si>
  <si>
    <t>Juarez Leite Mirannda Junior</t>
  </si>
  <si>
    <t>R. do Comércio, 1080 - Mãe de Deus, Peixoto de Azevedo - MT</t>
  </si>
  <si>
    <t>Elindo Juliao Severino</t>
  </si>
  <si>
    <t>Deusiana Pereira</t>
  </si>
  <si>
    <t>R. Trinta, 4717 - União, Matupá - MT</t>
  </si>
  <si>
    <t>Matupá - MT, 78525-000, Brasil</t>
  </si>
  <si>
    <t>O motorista não apareceu</t>
  </si>
  <si>
    <t>R. Pôrto Alegre, 789 - Bela Vista, Peixoto de Azevedo - MT</t>
  </si>
  <si>
    <t>Larissa Mendes Osga</t>
  </si>
  <si>
    <t>Terminal Rodoviário de Peixoto De Azevedo - Aeroporto, Peixoto de Azevedo - MT</t>
  </si>
  <si>
    <t>R. Gabriel Silva - Centro Novo, Peixoto de Azevedo - MT, 78530-000, Brasil</t>
  </si>
  <si>
    <t>R. Zé do Ford, 40 - Aeroporto, Peixoto de Azevedo - MT, Brasil</t>
  </si>
  <si>
    <t>estou longe</t>
  </si>
  <si>
    <t>Av. Sebastião Alves Júnior, 515 - ZC1-004, Matupá - MT, Brasil</t>
  </si>
  <si>
    <t>Local de levantamento do cliente errado</t>
  </si>
  <si>
    <t>Antônio Cleuton</t>
  </si>
  <si>
    <t>Rua Vinte, 220, União, Matupá, Mato Grosso, Brasil</t>
  </si>
  <si>
    <t>Parque de Exposições de Matupá, Matupá - State of Mato Grosso, Brazil</t>
  </si>
  <si>
    <t>465, Rua Santa Isabel, Aeroporto, Peixoto de Azevedo, Brasil,</t>
  </si>
  <si>
    <t>Atacadão Macre - Rua Teotônio Vilela - Centro Novo, Peixoto de Azevedo - State of Mato Grosso, Brazil</t>
  </si>
  <si>
    <t>Crissi Azevedo</t>
  </si>
  <si>
    <t>Unnamed</t>
  </si>
  <si>
    <t>Lucas Clemente</t>
  </si>
  <si>
    <t>Rua Zé do Ford, 106, Aeroporto, Peixoto de Azevedo, Mato Grosso</t>
  </si>
  <si>
    <t>Miguel Vitorino Dos Santos Filho</t>
  </si>
  <si>
    <t>Sara Nayobqueli</t>
  </si>
  <si>
    <t>Peixoto de Azevedo, MT, 78530-000, Brasil</t>
  </si>
  <si>
    <t>R. Teotônio Vilela, 545 - Centro Novo, Peixoto de Azevedo - MT</t>
  </si>
  <si>
    <t>Rua Corumbá, 390, Santa Izabel, Peixoto de Azevedo, Mato Grosso</t>
  </si>
  <si>
    <t>meu colega de trabalho fez um teste pra nós aqui ver co.o funci</t>
  </si>
  <si>
    <t>Avenida Brasil, 1716, Mãe de Deus, Peixoto de Azevedo, Mato Grosso</t>
  </si>
  <si>
    <t>Rua Da Saúde, 5 - Centro Antigo, Peixoto de Azevedo - MT</t>
  </si>
  <si>
    <t>Fernando Cipriano Dos Santos</t>
  </si>
  <si>
    <t>Rua 21, 410, Matupá, Mato Grosso</t>
  </si>
  <si>
    <t>Machadão Atacadista Matupá - Supermercado - Avenida Vítor F Donine - Zona Industrial, Matupá - Estado de Mato Grosso, Brasil</t>
  </si>
  <si>
    <t>Anderson Meneguzzi</t>
  </si>
  <si>
    <t>Avenida Vítor F Donine, 2.823, União, Matupá, Mato Grosso</t>
  </si>
  <si>
    <t>Rua 1 I-2, 601, Setor Industrial, Matupá, Mato Grosso</t>
  </si>
  <si>
    <t>465, Rua Santa Isabel, Aeroporto, Peixoto de Azevedo, Brasil, Frente escritório do Arame.</t>
  </si>
  <si>
    <t>São Lucas - Avenida Brasil - Mãe de Deus, Peixoto de Azevedo - Estado de Mato Grosso, Brasil</t>
  </si>
  <si>
    <t>lda Silva Gomes</t>
  </si>
  <si>
    <t>Av. Industrial, 659 - Jerusalém, Peixoto de Azevedo - MT</t>
  </si>
  <si>
    <t>Elda Silva Gomes</t>
  </si>
  <si>
    <t>Avenida Vítor F Donine, 802, Zona Industrial, Matupá, Mato Grosso</t>
  </si>
  <si>
    <t>Peixoto de Azevedo - Rua Buriti - Bela Vista, Peixoto de Azevedo - Estado de Mato Grosso, Brasil</t>
  </si>
  <si>
    <t>Rua Piauí, 118, Mãe de Deus, Peixoto de Azevedo, Mato Grosso</t>
  </si>
  <si>
    <t>Ana Carolina Diefenthaler Diefenthaler</t>
  </si>
  <si>
    <t>1612, Rua 9, União, Matupá, Brasil</t>
  </si>
  <si>
    <t>Hospital Municipal de Matupá - Rua 33 H-2, Matupá - Mato Grosso, Brasil</t>
  </si>
  <si>
    <t>Atacadão Macre - Rua Teotônio Vilela - Centro Novo, Peixoto de Azevedo - Estado de Mato Grosso, Brasil</t>
  </si>
  <si>
    <t>Verônica Maria Da Conceição Fernandes Dos Santos</t>
  </si>
  <si>
    <t>Rua Paraíba, 500, Mãe de Deus, Peixoto de Azevedo, Mato Grosso</t>
  </si>
  <si>
    <t>Rua do Comércio, 860, Centro Antigo, Peixoto de Azevedo, Mato Grosso</t>
  </si>
  <si>
    <t>Josiane Vieira</t>
  </si>
  <si>
    <t>IMPÉRIO BEER RESTAUBAR - Avenida Itamar Dias - Liberdade, Peixoto de Azevedo - Estado de Mato Grosso, Brasil</t>
  </si>
  <si>
    <t>Rua São Caetano - Santa Izabel, Peixoto de Azevedo - Estado de Mato Grosso, Brasil</t>
  </si>
  <si>
    <t>Rua Bolívia, 545, Liberdade, Peixoto de Azevedo, Mato Grosso</t>
  </si>
  <si>
    <t>Escola Tecnica Estadual de Ed. Profissional e Tecnologica de Matupá, Matupá - State of Mato Grosso, Brazil</t>
  </si>
  <si>
    <t>Sandra Santos</t>
  </si>
  <si>
    <t>Rua Pedro Álvares Cabral, 50, Industrial, Peixoto de Azevedo, Mato Grosso</t>
  </si>
  <si>
    <t>Esmeralda Carvalho</t>
  </si>
  <si>
    <t>Rua Dezessete, 5410, União, Matupá, Mato Grosso</t>
  </si>
  <si>
    <t>Linha do cemiterio, Matupá, Matupá, Brasil, Casa de esquina branca</t>
  </si>
  <si>
    <t>Av. Interpeninsular, 875, Matupá - MT</t>
  </si>
  <si>
    <t>R. 2 H-2, Matupá - MT, 78525-000, Brasil</t>
  </si>
  <si>
    <t>Av. Interpeninsular, 127, Matupá - MT</t>
  </si>
  <si>
    <t>Augusto Ribeiro Martins Ribeiro Martins</t>
  </si>
  <si>
    <t>Avenida Lions Internacional, 342, Aeroporto, Peixoto de Azevedo, Mato Grosso</t>
  </si>
  <si>
    <t>Amaggi Frota Rodoviária - MT-322 - Zona Rural, Matupá - State of Mato Grosso, Brazil</t>
  </si>
  <si>
    <t>Tv. Cuba, 580 - Liberdade, Peixoto de Azevedo - MT</t>
  </si>
  <si>
    <t>Ana Paula</t>
  </si>
  <si>
    <t>R. Dois, 705 - União, Matupá - MT</t>
  </si>
  <si>
    <t>-136 - Rod. Atlair José Dias, 30 - Mutum, MG, 36955-000, Brasil</t>
  </si>
  <si>
    <t>Douglas Castro</t>
  </si>
  <si>
    <t>Avenida Periférica R-1, 1101, Centro, Matupá, Mato Grosso</t>
  </si>
  <si>
    <t>Clínica e Laboratório Analise - Avenida Interpeninsular - Jardim das Flores, Matupá - State of Mato Grosso, Brazil</t>
  </si>
  <si>
    <t>Avenida Sebastião Alves Júnior, 618, Matupá, Mato Grosso</t>
  </si>
  <si>
    <t>Gabriele Cavalcante</t>
  </si>
  <si>
    <t>Avenida Sebastião Alves Júnior, 1474, União, Matupá, Mato Grosso</t>
  </si>
  <si>
    <t>Posto Trevão Matupá - INDUSTRIAL, Matupá - State of Mato Grosso, Brazil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</si>
</sst>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6">
    <font>
      <sz val="10.0"/>
      <color rgb="FF000000"/>
      <name val="Arial"/>
      <scheme val="minor"/>
    </font>
    <font>
      <sz val="11.0"/>
      <color rgb="FF337AB7"/>
      <name val="Rubik"/>
    </font>
    <font>
      <sz val="11.0"/>
      <color rgb="FF000000"/>
      <name val="Rubik"/>
    </font>
    <font>
      <color theme="1"/>
      <name val="Arial"/>
      <scheme val="minor"/>
    </font>
    <font>
      <u/>
      <sz val="11.0"/>
      <color rgb="FF0000FF"/>
      <name val="Rubik"/>
    </font>
    <font>
      <sz val="9.0"/>
      <color theme="1"/>
      <name val="Rubik"/>
    </font>
  </fonts>
  <fills count="4">
    <fill>
      <patternFill patternType="none"/>
    </fill>
    <fill>
      <patternFill patternType="lightGray"/>
    </fill>
    <fill>
      <patternFill patternType="solid">
        <fgColor rgb="FFFAFBFC"/>
        <bgColor rgb="FFFAFBF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2" fontId="2" numFmtId="0" xfId="0" applyAlignment="1" applyFont="1">
      <alignment horizontal="center" readingOrder="0"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center"/>
    </xf>
    <xf borderId="0" fillId="2" fontId="2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 vertical="bottom"/>
    </xf>
    <xf borderId="0" fillId="2" fontId="4" numFmtId="0" xfId="0" applyAlignment="1" applyFont="1">
      <alignment horizontal="center" readingOrder="0" vertical="bottom"/>
    </xf>
    <xf borderId="0" fillId="2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2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3" fontId="5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7.75"/>
    <col customWidth="1" min="5" max="5" width="21.88"/>
    <col customWidth="1" min="6" max="6" width="22.38"/>
    <col customWidth="1" min="8" max="8" width="77.13"/>
    <col customWidth="1" min="9" max="9" width="79.38"/>
    <col customWidth="1" min="12" max="12" width="26.5"/>
    <col customWidth="1" min="13" max="13" width="30.75"/>
    <col customWidth="1" min="14" max="14" width="31.75"/>
    <col customWidth="1" min="16" max="16" width="23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>
      <c r="A2" s="4">
        <v>5.7111603E8</v>
      </c>
      <c r="B2" s="4">
        <v>1.7174024E7</v>
      </c>
      <c r="C2" s="5" t="s">
        <v>18</v>
      </c>
      <c r="D2" s="4">
        <v>1.7177005E7</v>
      </c>
      <c r="E2" s="6">
        <f>+5566996356157</f>
        <v>5566996356157</v>
      </c>
      <c r="F2" s="5" t="s">
        <v>19</v>
      </c>
      <c r="G2" s="5" t="s">
        <v>20</v>
      </c>
      <c r="H2" s="5" t="s">
        <v>21</v>
      </c>
      <c r="I2" s="7"/>
      <c r="J2" s="5" t="s">
        <v>22</v>
      </c>
      <c r="K2" s="5" t="s">
        <v>22</v>
      </c>
      <c r="L2" s="8">
        <v>45751.67414351852</v>
      </c>
      <c r="M2" s="5" t="s">
        <v>23</v>
      </c>
      <c r="N2" s="5" t="s">
        <v>24</v>
      </c>
      <c r="O2" s="5" t="s">
        <v>22</v>
      </c>
      <c r="P2" s="5" t="s">
        <v>25</v>
      </c>
      <c r="Q2" s="7"/>
      <c r="R2" s="3" t="s">
        <v>26</v>
      </c>
    </row>
    <row r="3">
      <c r="A3" s="4">
        <v>5.71115457E8</v>
      </c>
      <c r="B3" s="4">
        <v>1.7174024E7</v>
      </c>
      <c r="C3" s="9" t="s">
        <v>18</v>
      </c>
      <c r="D3" s="4">
        <v>1.7182356E7</v>
      </c>
      <c r="E3" s="10">
        <f>+5566996361657</f>
        <v>5566996361657</v>
      </c>
      <c r="F3" s="9" t="s">
        <v>27</v>
      </c>
      <c r="G3" s="9" t="s">
        <v>20</v>
      </c>
      <c r="H3" s="9" t="s">
        <v>21</v>
      </c>
      <c r="I3" s="11"/>
      <c r="J3" s="9" t="s">
        <v>22</v>
      </c>
      <c r="K3" s="9" t="s">
        <v>22</v>
      </c>
      <c r="L3" s="12">
        <v>45751.671851851854</v>
      </c>
      <c r="M3" s="9" t="s">
        <v>28</v>
      </c>
      <c r="N3" s="9" t="s">
        <v>24</v>
      </c>
      <c r="O3" s="9" t="s">
        <v>22</v>
      </c>
      <c r="P3" s="9" t="s">
        <v>25</v>
      </c>
      <c r="Q3" s="11"/>
      <c r="R3" s="3" t="s">
        <v>26</v>
      </c>
    </row>
    <row r="4">
      <c r="A4" s="4">
        <v>5.70861734E8</v>
      </c>
      <c r="B4" s="4">
        <v>1.7174024E7</v>
      </c>
      <c r="C4" s="5" t="s">
        <v>18</v>
      </c>
      <c r="D4" s="4">
        <v>1.7177005E7</v>
      </c>
      <c r="E4" s="6">
        <f t="shared" ref="E4:E7" si="1">+5566996356157</f>
        <v>5566996356157</v>
      </c>
      <c r="F4" s="5" t="s">
        <v>19</v>
      </c>
      <c r="G4" s="5" t="s">
        <v>20</v>
      </c>
      <c r="H4" s="5" t="s">
        <v>21</v>
      </c>
      <c r="I4" s="5" t="s">
        <v>29</v>
      </c>
      <c r="J4" s="5" t="s">
        <v>22</v>
      </c>
      <c r="K4" s="5" t="s">
        <v>22</v>
      </c>
      <c r="L4" s="8">
        <v>45750.42333333333</v>
      </c>
      <c r="M4" s="5" t="s">
        <v>30</v>
      </c>
      <c r="N4" s="5" t="s">
        <v>24</v>
      </c>
      <c r="O4" s="5" t="s">
        <v>22</v>
      </c>
      <c r="P4" s="5" t="s">
        <v>25</v>
      </c>
      <c r="Q4" s="7"/>
      <c r="R4" s="3" t="s">
        <v>26</v>
      </c>
    </row>
    <row r="5">
      <c r="A5" s="4">
        <v>5.70861734E8</v>
      </c>
      <c r="B5" s="4">
        <v>1.7174024E7</v>
      </c>
      <c r="C5" s="5" t="s">
        <v>18</v>
      </c>
      <c r="D5" s="4">
        <v>1.7177005E7</v>
      </c>
      <c r="E5" s="6">
        <f t="shared" si="1"/>
        <v>5566996356157</v>
      </c>
      <c r="F5" s="5" t="s">
        <v>19</v>
      </c>
      <c r="G5" s="5" t="s">
        <v>20</v>
      </c>
      <c r="H5" s="5" t="s">
        <v>21</v>
      </c>
      <c r="I5" s="5" t="s">
        <v>29</v>
      </c>
      <c r="J5" s="5" t="s">
        <v>22</v>
      </c>
      <c r="K5" s="5" t="s">
        <v>22</v>
      </c>
      <c r="L5" s="8">
        <v>45750.42333333333</v>
      </c>
      <c r="M5" s="5" t="s">
        <v>30</v>
      </c>
      <c r="N5" s="5" t="s">
        <v>24</v>
      </c>
      <c r="O5" s="5" t="s">
        <v>22</v>
      </c>
      <c r="P5" s="5" t="s">
        <v>25</v>
      </c>
      <c r="Q5" s="7"/>
      <c r="R5" s="3" t="s">
        <v>26</v>
      </c>
    </row>
    <row r="6">
      <c r="A6" s="4">
        <v>5.70861734E8</v>
      </c>
      <c r="B6" s="4">
        <v>1.7174024E7</v>
      </c>
      <c r="C6" s="5" t="s">
        <v>18</v>
      </c>
      <c r="D6" s="4">
        <v>1.7177005E7</v>
      </c>
      <c r="E6" s="6">
        <f t="shared" si="1"/>
        <v>5566996356157</v>
      </c>
      <c r="F6" s="5" t="s">
        <v>19</v>
      </c>
      <c r="G6" s="5" t="s">
        <v>20</v>
      </c>
      <c r="H6" s="5" t="s">
        <v>21</v>
      </c>
      <c r="I6" s="5" t="s">
        <v>29</v>
      </c>
      <c r="J6" s="5" t="s">
        <v>22</v>
      </c>
      <c r="K6" s="5" t="s">
        <v>22</v>
      </c>
      <c r="L6" s="8">
        <v>45750.42333333333</v>
      </c>
      <c r="M6" s="5" t="s">
        <v>30</v>
      </c>
      <c r="N6" s="5" t="s">
        <v>24</v>
      </c>
      <c r="O6" s="5" t="s">
        <v>22</v>
      </c>
      <c r="P6" s="5" t="s">
        <v>25</v>
      </c>
      <c r="Q6" s="7"/>
      <c r="R6" s="3" t="s">
        <v>26</v>
      </c>
    </row>
    <row r="7">
      <c r="A7" s="4">
        <v>5.71776153E8</v>
      </c>
      <c r="B7" s="4">
        <v>1.7174024E7</v>
      </c>
      <c r="C7" s="5" t="s">
        <v>18</v>
      </c>
      <c r="D7" s="4">
        <v>1.7177005E7</v>
      </c>
      <c r="E7" s="6">
        <f t="shared" si="1"/>
        <v>5566996356157</v>
      </c>
      <c r="F7" s="5" t="s">
        <v>19</v>
      </c>
      <c r="G7" s="5" t="s">
        <v>20</v>
      </c>
      <c r="H7" s="5" t="s">
        <v>31</v>
      </c>
      <c r="I7" s="7"/>
      <c r="J7" s="5" t="s">
        <v>22</v>
      </c>
      <c r="K7" s="5" t="s">
        <v>22</v>
      </c>
      <c r="L7" s="8">
        <v>45754.792349537034</v>
      </c>
      <c r="M7" s="5" t="s">
        <v>32</v>
      </c>
      <c r="N7" s="5" t="s">
        <v>24</v>
      </c>
      <c r="O7" s="5" t="s">
        <v>22</v>
      </c>
      <c r="P7" s="5" t="s">
        <v>25</v>
      </c>
      <c r="Q7" s="7"/>
      <c r="R7" s="3" t="s">
        <v>26</v>
      </c>
    </row>
    <row r="8">
      <c r="A8" s="4">
        <v>5.72351367E8</v>
      </c>
      <c r="B8" s="4">
        <v>1.7174024E7</v>
      </c>
      <c r="C8" s="5" t="s">
        <v>18</v>
      </c>
      <c r="D8" s="4">
        <v>1.7213289E7</v>
      </c>
      <c r="E8" s="6">
        <f>+5566999824229</f>
        <v>5566999824229</v>
      </c>
      <c r="F8" s="5" t="s">
        <v>33</v>
      </c>
      <c r="G8" s="5" t="s">
        <v>20</v>
      </c>
      <c r="H8" s="5" t="s">
        <v>34</v>
      </c>
      <c r="I8" s="7"/>
      <c r="J8" s="5" t="s">
        <v>22</v>
      </c>
      <c r="K8" s="5" t="s">
        <v>22</v>
      </c>
      <c r="L8" s="8">
        <v>45757.828993055555</v>
      </c>
      <c r="M8" s="5" t="s">
        <v>32</v>
      </c>
      <c r="N8" s="5" t="s">
        <v>24</v>
      </c>
      <c r="O8" s="5" t="s">
        <v>22</v>
      </c>
      <c r="P8" s="5" t="s">
        <v>25</v>
      </c>
      <c r="Q8" s="7"/>
      <c r="R8" s="3" t="s">
        <v>26</v>
      </c>
    </row>
    <row r="9">
      <c r="A9" s="4">
        <v>5.72452806E8</v>
      </c>
      <c r="B9" s="4">
        <v>1.7174024E7</v>
      </c>
      <c r="C9" s="9" t="s">
        <v>18</v>
      </c>
      <c r="D9" s="4">
        <v>1.7213264E7</v>
      </c>
      <c r="E9" s="10">
        <f>+5566996607371</f>
        <v>5566996607371</v>
      </c>
      <c r="F9" s="9" t="s">
        <v>35</v>
      </c>
      <c r="G9" s="9" t="s">
        <v>20</v>
      </c>
      <c r="H9" s="9" t="s">
        <v>36</v>
      </c>
      <c r="I9" s="11"/>
      <c r="J9" s="9" t="s">
        <v>22</v>
      </c>
      <c r="K9" s="9" t="s">
        <v>22</v>
      </c>
      <c r="L9" s="12">
        <v>45758.318703703706</v>
      </c>
      <c r="M9" s="9" t="s">
        <v>30</v>
      </c>
      <c r="N9" s="9" t="s">
        <v>24</v>
      </c>
      <c r="O9" s="9" t="s">
        <v>22</v>
      </c>
      <c r="P9" s="9" t="s">
        <v>25</v>
      </c>
      <c r="Q9" s="11"/>
      <c r="R9" s="3" t="s">
        <v>26</v>
      </c>
    </row>
    <row r="10">
      <c r="A10" s="4">
        <v>5.72351367E8</v>
      </c>
      <c r="B10" s="4">
        <v>1.7174024E7</v>
      </c>
      <c r="C10" s="5" t="s">
        <v>18</v>
      </c>
      <c r="D10" s="4">
        <v>1.7213289E7</v>
      </c>
      <c r="E10" s="6">
        <f>+5566999824229</f>
        <v>5566999824229</v>
      </c>
      <c r="F10" s="5" t="s">
        <v>33</v>
      </c>
      <c r="G10" s="5" t="s">
        <v>20</v>
      </c>
      <c r="H10" s="5" t="s">
        <v>34</v>
      </c>
      <c r="I10" s="5" t="s">
        <v>37</v>
      </c>
      <c r="J10" s="5" t="s">
        <v>22</v>
      </c>
      <c r="K10" s="5" t="s">
        <v>22</v>
      </c>
      <c r="L10" s="8">
        <v>45757.828993055555</v>
      </c>
      <c r="M10" s="5" t="s">
        <v>32</v>
      </c>
      <c r="N10" s="5" t="s">
        <v>24</v>
      </c>
      <c r="O10" s="5" t="s">
        <v>22</v>
      </c>
      <c r="P10" s="5" t="s">
        <v>25</v>
      </c>
      <c r="Q10" s="7"/>
      <c r="R10" s="3" t="s">
        <v>26</v>
      </c>
    </row>
    <row r="11">
      <c r="A11" s="4">
        <v>5.72795397E8</v>
      </c>
      <c r="B11" s="4">
        <v>1.7174024E7</v>
      </c>
      <c r="C11" s="5" t="s">
        <v>18</v>
      </c>
      <c r="D11" s="4">
        <v>1.7221538E7</v>
      </c>
      <c r="E11" s="6">
        <f>+556699049420</f>
        <v>556699049420</v>
      </c>
      <c r="F11" s="5" t="s">
        <v>27</v>
      </c>
      <c r="G11" s="5" t="s">
        <v>20</v>
      </c>
      <c r="H11" s="5" t="s">
        <v>38</v>
      </c>
      <c r="I11" s="7"/>
      <c r="J11" s="5" t="s">
        <v>22</v>
      </c>
      <c r="K11" s="5" t="s">
        <v>22</v>
      </c>
      <c r="L11" s="8">
        <v>45759.5547337963</v>
      </c>
      <c r="M11" s="5" t="s">
        <v>30</v>
      </c>
      <c r="N11" s="5" t="s">
        <v>24</v>
      </c>
      <c r="O11" s="5" t="s">
        <v>22</v>
      </c>
      <c r="P11" s="5" t="s">
        <v>25</v>
      </c>
      <c r="Q11" s="7"/>
      <c r="R11" s="3" t="s">
        <v>26</v>
      </c>
    </row>
    <row r="12">
      <c r="A12" s="4">
        <v>5.72452806E8</v>
      </c>
      <c r="B12" s="4">
        <v>1.7174024E7</v>
      </c>
      <c r="C12" s="5" t="s">
        <v>18</v>
      </c>
      <c r="D12" s="4">
        <v>1.7213264E7</v>
      </c>
      <c r="E12" s="6">
        <f>+5566996607371</f>
        <v>5566996607371</v>
      </c>
      <c r="F12" s="5" t="s">
        <v>35</v>
      </c>
      <c r="G12" s="5" t="s">
        <v>20</v>
      </c>
      <c r="H12" s="5" t="s">
        <v>36</v>
      </c>
      <c r="I12" s="7"/>
      <c r="J12" s="5" t="s">
        <v>22</v>
      </c>
      <c r="K12" s="5" t="s">
        <v>22</v>
      </c>
      <c r="L12" s="8">
        <v>45758.318703703706</v>
      </c>
      <c r="M12" s="5" t="s">
        <v>30</v>
      </c>
      <c r="N12" s="5" t="s">
        <v>24</v>
      </c>
      <c r="O12" s="5" t="s">
        <v>22</v>
      </c>
      <c r="P12" s="5" t="s">
        <v>25</v>
      </c>
      <c r="Q12" s="7"/>
      <c r="R12" s="3" t="s">
        <v>26</v>
      </c>
    </row>
    <row r="13">
      <c r="A13" s="4">
        <v>5.72351367E8</v>
      </c>
      <c r="B13" s="4">
        <v>1.7174024E7</v>
      </c>
      <c r="C13" s="9" t="s">
        <v>18</v>
      </c>
      <c r="D13" s="4">
        <v>1.7213289E7</v>
      </c>
      <c r="E13" s="10">
        <f>+5566999824229</f>
        <v>5566999824229</v>
      </c>
      <c r="F13" s="9" t="s">
        <v>33</v>
      </c>
      <c r="G13" s="9" t="s">
        <v>20</v>
      </c>
      <c r="H13" s="9" t="s">
        <v>34</v>
      </c>
      <c r="I13" s="9" t="s">
        <v>37</v>
      </c>
      <c r="J13" s="9" t="s">
        <v>22</v>
      </c>
      <c r="K13" s="9" t="s">
        <v>22</v>
      </c>
      <c r="L13" s="12">
        <v>45757.828993055555</v>
      </c>
      <c r="M13" s="9" t="s">
        <v>32</v>
      </c>
      <c r="N13" s="9" t="s">
        <v>24</v>
      </c>
      <c r="O13" s="9" t="s">
        <v>22</v>
      </c>
      <c r="P13" s="9" t="s">
        <v>25</v>
      </c>
      <c r="Q13" s="11"/>
      <c r="R13" s="3" t="s">
        <v>26</v>
      </c>
    </row>
    <row r="14">
      <c r="A14" s="4">
        <v>5.73151827E8</v>
      </c>
      <c r="B14" s="4">
        <v>1.7174024E7</v>
      </c>
      <c r="C14" s="5" t="s">
        <v>18</v>
      </c>
      <c r="D14" s="4">
        <v>1.7216016E7</v>
      </c>
      <c r="E14" s="6">
        <f>+5566999576629</f>
        <v>5566999576629</v>
      </c>
      <c r="F14" s="5" t="s">
        <v>39</v>
      </c>
      <c r="G14" s="5" t="s">
        <v>20</v>
      </c>
      <c r="H14" s="5" t="s">
        <v>40</v>
      </c>
      <c r="I14" s="7"/>
      <c r="J14" s="5" t="s">
        <v>22</v>
      </c>
      <c r="K14" s="5" t="s">
        <v>22</v>
      </c>
      <c r="L14" s="8">
        <v>45761.2796875</v>
      </c>
      <c r="M14" s="5" t="s">
        <v>41</v>
      </c>
      <c r="N14" s="5" t="s">
        <v>24</v>
      </c>
      <c r="O14" s="5" t="s">
        <v>22</v>
      </c>
      <c r="P14" s="5" t="s">
        <v>25</v>
      </c>
      <c r="Q14" s="7"/>
      <c r="R14" s="3" t="s">
        <v>26</v>
      </c>
    </row>
    <row r="15">
      <c r="A15" s="4">
        <v>5.74160828E8</v>
      </c>
      <c r="B15" s="4">
        <v>1.7174024E7</v>
      </c>
      <c r="C15" s="5" t="s">
        <v>18</v>
      </c>
      <c r="D15" s="4">
        <v>1.7258744E7</v>
      </c>
      <c r="E15" s="6">
        <f>+55669992056366</f>
        <v>55669992056366</v>
      </c>
      <c r="F15" s="5" t="s">
        <v>27</v>
      </c>
      <c r="G15" s="5" t="s">
        <v>20</v>
      </c>
      <c r="H15" s="5" t="s">
        <v>42</v>
      </c>
      <c r="I15" s="7"/>
      <c r="J15" s="5" t="s">
        <v>22</v>
      </c>
      <c r="K15" s="5" t="s">
        <v>22</v>
      </c>
      <c r="L15" s="8">
        <v>45765.96923611111</v>
      </c>
      <c r="M15" s="5" t="s">
        <v>43</v>
      </c>
      <c r="N15" s="5" t="s">
        <v>24</v>
      </c>
      <c r="O15" s="5" t="s">
        <v>22</v>
      </c>
      <c r="P15" s="5" t="s">
        <v>25</v>
      </c>
      <c r="Q15" s="7"/>
      <c r="R15" s="3" t="s">
        <v>26</v>
      </c>
    </row>
    <row r="16">
      <c r="A16" s="4">
        <v>5.77210266E8</v>
      </c>
      <c r="B16" s="4">
        <v>1.7116809E7</v>
      </c>
      <c r="C16" s="5" t="s">
        <v>44</v>
      </c>
      <c r="D16" s="4">
        <v>1.7079326E7</v>
      </c>
      <c r="E16" s="6">
        <f>+5566999516439</f>
        <v>5566999516439</v>
      </c>
      <c r="F16" s="5" t="s">
        <v>45</v>
      </c>
      <c r="G16" s="5" t="s">
        <v>20</v>
      </c>
      <c r="H16" s="5" t="s">
        <v>46</v>
      </c>
      <c r="I16" s="5" t="s">
        <v>47</v>
      </c>
      <c r="J16" s="5" t="s">
        <v>22</v>
      </c>
      <c r="K16" s="5" t="s">
        <v>22</v>
      </c>
      <c r="L16" s="8">
        <v>45779.68908564815</v>
      </c>
      <c r="M16" s="5" t="s">
        <v>48</v>
      </c>
      <c r="N16" s="5" t="s">
        <v>24</v>
      </c>
      <c r="O16" s="5" t="s">
        <v>22</v>
      </c>
      <c r="P16" s="5" t="s">
        <v>22</v>
      </c>
      <c r="Q16" s="7"/>
      <c r="R16" s="3" t="s">
        <v>26</v>
      </c>
    </row>
    <row r="17">
      <c r="A17" s="4">
        <v>5.78219422E8</v>
      </c>
      <c r="B17" s="4">
        <v>1.7116809E7</v>
      </c>
      <c r="C17" s="5" t="s">
        <v>44</v>
      </c>
      <c r="D17" s="4">
        <v>1.737477E7</v>
      </c>
      <c r="E17" s="6">
        <f t="shared" ref="E17:E18" si="2">+5566999047941</f>
        <v>5566999047941</v>
      </c>
      <c r="F17" s="5" t="s">
        <v>49</v>
      </c>
      <c r="G17" s="5" t="s">
        <v>50</v>
      </c>
      <c r="H17" s="5" t="s">
        <v>51</v>
      </c>
      <c r="I17" s="5" t="s">
        <v>52</v>
      </c>
      <c r="J17" s="5" t="s">
        <v>22</v>
      </c>
      <c r="K17" s="5" t="s">
        <v>22</v>
      </c>
      <c r="L17" s="8">
        <v>45783.39917824074</v>
      </c>
      <c r="M17" s="5" t="s">
        <v>53</v>
      </c>
      <c r="N17" s="5" t="s">
        <v>54</v>
      </c>
      <c r="O17" s="5" t="s">
        <v>22</v>
      </c>
      <c r="P17" s="5" t="s">
        <v>22</v>
      </c>
      <c r="Q17" s="7"/>
      <c r="R17" s="3" t="s">
        <v>26</v>
      </c>
    </row>
    <row r="18">
      <c r="A18" s="4">
        <v>5.78216894E8</v>
      </c>
      <c r="B18" s="4">
        <v>1.7174024E7</v>
      </c>
      <c r="C18" s="9" t="s">
        <v>18</v>
      </c>
      <c r="D18" s="4">
        <v>1.737477E7</v>
      </c>
      <c r="E18" s="10">
        <f t="shared" si="2"/>
        <v>5566999047941</v>
      </c>
      <c r="F18" s="9" t="s">
        <v>49</v>
      </c>
      <c r="G18" s="9" t="s">
        <v>50</v>
      </c>
      <c r="H18" s="9" t="s">
        <v>51</v>
      </c>
      <c r="I18" s="9" t="s">
        <v>55</v>
      </c>
      <c r="J18" s="9" t="s">
        <v>22</v>
      </c>
      <c r="K18" s="9" t="s">
        <v>22</v>
      </c>
      <c r="L18" s="12">
        <v>45783.39393518519</v>
      </c>
      <c r="M18" s="9" t="s">
        <v>30</v>
      </c>
      <c r="N18" s="9" t="s">
        <v>24</v>
      </c>
      <c r="O18" s="9" t="s">
        <v>22</v>
      </c>
      <c r="P18" s="9" t="s">
        <v>22</v>
      </c>
      <c r="Q18" s="11"/>
      <c r="R18" s="3" t="s">
        <v>26</v>
      </c>
    </row>
    <row r="19">
      <c r="A19" s="4">
        <v>5.79009459E8</v>
      </c>
      <c r="B19" s="4">
        <v>1.7291892E7</v>
      </c>
      <c r="C19" s="5" t="s">
        <v>56</v>
      </c>
      <c r="D19" s="4">
        <v>1.7285532E7</v>
      </c>
      <c r="E19" s="6">
        <f>+5566999985418</f>
        <v>5566999985418</v>
      </c>
      <c r="F19" s="5" t="s">
        <v>27</v>
      </c>
      <c r="G19" s="5" t="s">
        <v>20</v>
      </c>
      <c r="H19" s="5" t="s">
        <v>57</v>
      </c>
      <c r="I19" s="5" t="s">
        <v>58</v>
      </c>
      <c r="J19" s="5" t="s">
        <v>22</v>
      </c>
      <c r="K19" s="5" t="s">
        <v>22</v>
      </c>
      <c r="L19" s="8">
        <v>45786.86417824074</v>
      </c>
      <c r="M19" s="5" t="s">
        <v>59</v>
      </c>
      <c r="N19" s="5" t="s">
        <v>24</v>
      </c>
      <c r="O19" s="5" t="s">
        <v>22</v>
      </c>
      <c r="P19" s="5" t="s">
        <v>22</v>
      </c>
      <c r="Q19" s="7"/>
      <c r="R19" s="3" t="s">
        <v>60</v>
      </c>
    </row>
    <row r="20">
      <c r="A20" s="4">
        <v>5.78908408E8</v>
      </c>
      <c r="B20" s="4">
        <v>1.7116809E7</v>
      </c>
      <c r="C20" s="9" t="s">
        <v>44</v>
      </c>
      <c r="D20" s="4">
        <v>1.737477E7</v>
      </c>
      <c r="E20" s="10">
        <f>+5566999047941</f>
        <v>5566999047941</v>
      </c>
      <c r="F20" s="9" t="s">
        <v>49</v>
      </c>
      <c r="G20" s="9" t="s">
        <v>50</v>
      </c>
      <c r="H20" s="9" t="s">
        <v>61</v>
      </c>
      <c r="I20" s="9" t="s">
        <v>62</v>
      </c>
      <c r="J20" s="9" t="s">
        <v>22</v>
      </c>
      <c r="K20" s="9" t="s">
        <v>22</v>
      </c>
      <c r="L20" s="12">
        <v>45786.40310185185</v>
      </c>
      <c r="M20" s="9" t="s">
        <v>63</v>
      </c>
      <c r="N20" s="9" t="s">
        <v>24</v>
      </c>
      <c r="O20" s="11"/>
      <c r="R20" s="3" t="s">
        <v>26</v>
      </c>
    </row>
    <row r="21">
      <c r="A21" s="4">
        <v>5.800824E8</v>
      </c>
      <c r="B21" s="4">
        <v>1.7174024E7</v>
      </c>
      <c r="C21" s="5" t="s">
        <v>18</v>
      </c>
      <c r="D21" s="4">
        <v>1.7457215E7</v>
      </c>
      <c r="E21" s="6">
        <f>+5565981457067</f>
        <v>5565981457067</v>
      </c>
      <c r="F21" s="5" t="s">
        <v>27</v>
      </c>
      <c r="G21" s="5" t="s">
        <v>20</v>
      </c>
      <c r="H21" s="5" t="s">
        <v>31</v>
      </c>
      <c r="I21" s="7"/>
      <c r="J21" s="5" t="s">
        <v>22</v>
      </c>
      <c r="K21" s="5" t="s">
        <v>22</v>
      </c>
      <c r="L21" s="8">
        <v>45791.80704861111</v>
      </c>
      <c r="M21" s="5" t="s">
        <v>64</v>
      </c>
      <c r="N21" s="5" t="s">
        <v>24</v>
      </c>
      <c r="O21" s="5" t="s">
        <v>22</v>
      </c>
      <c r="P21" s="5" t="s">
        <v>25</v>
      </c>
      <c r="Q21" s="7"/>
      <c r="R21" s="3" t="s">
        <v>26</v>
      </c>
    </row>
    <row r="22">
      <c r="A22" s="4">
        <v>5.81126994E8</v>
      </c>
      <c r="B22" s="4">
        <v>1.7116809E7</v>
      </c>
      <c r="C22" s="5" t="s">
        <v>44</v>
      </c>
      <c r="D22" s="4">
        <v>1.7478006E7</v>
      </c>
      <c r="E22" s="6">
        <f>+5566996071813</f>
        <v>5566996071813</v>
      </c>
      <c r="F22" s="5" t="s">
        <v>65</v>
      </c>
      <c r="G22" s="5" t="s">
        <v>20</v>
      </c>
      <c r="H22" s="5" t="s">
        <v>66</v>
      </c>
      <c r="I22" s="5" t="s">
        <v>67</v>
      </c>
      <c r="J22" s="5" t="s">
        <v>22</v>
      </c>
      <c r="K22" s="5" t="s">
        <v>22</v>
      </c>
      <c r="L22" s="8">
        <v>45796.49619212963</v>
      </c>
      <c r="M22" s="5" t="s">
        <v>22</v>
      </c>
      <c r="N22" s="5" t="s">
        <v>54</v>
      </c>
      <c r="O22" s="5" t="s">
        <v>22</v>
      </c>
      <c r="P22" s="5" t="s">
        <v>22</v>
      </c>
      <c r="Q22" s="7"/>
      <c r="R22" s="3" t="s">
        <v>26</v>
      </c>
    </row>
    <row r="23">
      <c r="A23" s="4">
        <v>5.81637589E8</v>
      </c>
      <c r="B23" s="4">
        <v>1.7174024E7</v>
      </c>
      <c r="C23" s="5" t="s">
        <v>18</v>
      </c>
      <c r="D23" s="4">
        <v>1.7535078E7</v>
      </c>
      <c r="E23" s="6">
        <f>+5566999023131</f>
        <v>5566999023131</v>
      </c>
      <c r="F23" s="5" t="s">
        <v>68</v>
      </c>
      <c r="G23" s="5" t="s">
        <v>20</v>
      </c>
      <c r="H23" s="5" t="s">
        <v>69</v>
      </c>
      <c r="I23" s="5" t="s">
        <v>70</v>
      </c>
      <c r="J23" s="5" t="s">
        <v>22</v>
      </c>
      <c r="K23" s="5" t="s">
        <v>22</v>
      </c>
      <c r="L23" s="8">
        <v>45799.22759259259</v>
      </c>
      <c r="M23" s="5" t="s">
        <v>53</v>
      </c>
      <c r="N23" s="5" t="s">
        <v>54</v>
      </c>
      <c r="O23" s="5" t="s">
        <v>22</v>
      </c>
      <c r="P23" s="5" t="s">
        <v>22</v>
      </c>
      <c r="Q23" s="7"/>
      <c r="R23" s="3" t="s">
        <v>26</v>
      </c>
    </row>
    <row r="24">
      <c r="A24" s="4">
        <v>5.82689248E8</v>
      </c>
      <c r="B24" s="4">
        <v>1.7174024E7</v>
      </c>
      <c r="C24" s="5" t="s">
        <v>18</v>
      </c>
      <c r="D24" s="4">
        <v>1.7582588E7</v>
      </c>
      <c r="E24" s="6">
        <f>+5566996649750</f>
        <v>5566996649750</v>
      </c>
      <c r="F24" s="5" t="s">
        <v>71</v>
      </c>
      <c r="G24" s="5" t="s">
        <v>50</v>
      </c>
      <c r="H24" s="5" t="s">
        <v>72</v>
      </c>
      <c r="I24" s="5" t="s">
        <v>73</v>
      </c>
      <c r="J24" s="5" t="s">
        <v>22</v>
      </c>
      <c r="K24" s="5" t="s">
        <v>22</v>
      </c>
      <c r="L24" s="8">
        <v>45804.06732638889</v>
      </c>
      <c r="M24" s="5" t="s">
        <v>22</v>
      </c>
      <c r="N24" s="5" t="s">
        <v>54</v>
      </c>
      <c r="O24" s="5" t="s">
        <v>22</v>
      </c>
      <c r="P24" s="5" t="s">
        <v>22</v>
      </c>
      <c r="Q24" s="7"/>
      <c r="R24" s="3" t="s">
        <v>60</v>
      </c>
    </row>
    <row r="25">
      <c r="A25" s="4">
        <v>5.83471894E8</v>
      </c>
      <c r="B25" s="4">
        <v>1.7174024E7</v>
      </c>
      <c r="C25" s="5" t="s">
        <v>18</v>
      </c>
      <c r="D25" s="4">
        <v>1.7609251E7</v>
      </c>
      <c r="E25" s="6">
        <f>+5566992491185</f>
        <v>5566992491185</v>
      </c>
      <c r="F25" s="5" t="s">
        <v>74</v>
      </c>
      <c r="G25" s="5" t="s">
        <v>50</v>
      </c>
      <c r="H25" s="5" t="s">
        <v>75</v>
      </c>
      <c r="I25" s="5" t="s">
        <v>76</v>
      </c>
      <c r="J25" s="5" t="s">
        <v>22</v>
      </c>
      <c r="K25" s="5" t="s">
        <v>22</v>
      </c>
      <c r="L25" s="8">
        <v>45807.2959375</v>
      </c>
      <c r="M25" s="5" t="s">
        <v>30</v>
      </c>
      <c r="N25" s="5" t="s">
        <v>24</v>
      </c>
      <c r="O25" s="13">
        <v>823361.0</v>
      </c>
      <c r="P25" s="5" t="s">
        <v>22</v>
      </c>
      <c r="Q25" s="7"/>
      <c r="R25" s="3" t="s">
        <v>26</v>
      </c>
    </row>
    <row r="26">
      <c r="A26" s="4">
        <v>8.45508E7</v>
      </c>
      <c r="B26" s="4">
        <v>1.7109343E7</v>
      </c>
      <c r="C26" s="5" t="s">
        <v>77</v>
      </c>
      <c r="D26" s="4">
        <v>1.7582588E7</v>
      </c>
      <c r="E26" s="6">
        <f>+5566996649750</f>
        <v>5566996649750</v>
      </c>
      <c r="F26" s="5" t="s">
        <v>71</v>
      </c>
      <c r="G26" s="5" t="s">
        <v>20</v>
      </c>
      <c r="H26" s="5" t="s">
        <v>78</v>
      </c>
      <c r="I26" s="5" t="s">
        <v>79</v>
      </c>
      <c r="J26" s="5" t="s">
        <v>22</v>
      </c>
      <c r="K26" s="5" t="s">
        <v>22</v>
      </c>
      <c r="L26" s="8">
        <v>45811.44144675926</v>
      </c>
      <c r="M26" s="5" t="s">
        <v>22</v>
      </c>
      <c r="N26" s="5" t="s">
        <v>54</v>
      </c>
      <c r="O26" s="5" t="s">
        <v>22</v>
      </c>
      <c r="P26" s="5" t="s">
        <v>22</v>
      </c>
      <c r="Q26" s="7"/>
      <c r="R26" s="3" t="s">
        <v>26</v>
      </c>
    </row>
    <row r="27">
      <c r="A27" s="4">
        <v>5.84798749E8</v>
      </c>
      <c r="B27" s="4">
        <v>1.7291892E7</v>
      </c>
      <c r="C27" s="5" t="s">
        <v>56</v>
      </c>
      <c r="D27" s="4">
        <v>1.7658796E7</v>
      </c>
      <c r="E27" s="6">
        <f>+5565992822524</f>
        <v>5565992822524</v>
      </c>
      <c r="F27" s="5" t="s">
        <v>80</v>
      </c>
      <c r="G27" s="5" t="s">
        <v>20</v>
      </c>
      <c r="H27" s="5" t="s">
        <v>81</v>
      </c>
      <c r="I27" s="5" t="s">
        <v>82</v>
      </c>
      <c r="J27" s="5" t="s">
        <v>22</v>
      </c>
      <c r="K27" s="5" t="s">
        <v>22</v>
      </c>
      <c r="L27" s="8">
        <v>45812.640543981484</v>
      </c>
      <c r="M27" s="5" t="s">
        <v>53</v>
      </c>
      <c r="N27" s="5" t="s">
        <v>54</v>
      </c>
      <c r="O27" s="5" t="s">
        <v>22</v>
      </c>
      <c r="P27" s="5" t="s">
        <v>22</v>
      </c>
      <c r="R27" s="3" t="s">
        <v>60</v>
      </c>
    </row>
    <row r="28">
      <c r="A28" s="1">
        <v>5.85755564E8</v>
      </c>
      <c r="B28" s="1">
        <v>1.7174024E7</v>
      </c>
      <c r="C28" s="2" t="s">
        <v>18</v>
      </c>
      <c r="D28" s="1">
        <v>1.7692739E7</v>
      </c>
      <c r="E28" s="7">
        <f>+55999576629</f>
        <v>55999576629</v>
      </c>
      <c r="F28" s="2" t="s">
        <v>83</v>
      </c>
      <c r="G28" s="2" t="s">
        <v>20</v>
      </c>
      <c r="H28" s="2" t="s">
        <v>84</v>
      </c>
      <c r="I28" s="7"/>
      <c r="J28" s="2" t="s">
        <v>22</v>
      </c>
      <c r="K28" s="2" t="s">
        <v>22</v>
      </c>
      <c r="L28" s="14">
        <v>45816.799988425926</v>
      </c>
      <c r="M28" s="2" t="s">
        <v>85</v>
      </c>
      <c r="N28" s="5" t="s">
        <v>24</v>
      </c>
      <c r="O28" s="2" t="s">
        <v>22</v>
      </c>
      <c r="P28" s="2" t="s">
        <v>15</v>
      </c>
      <c r="Q28" s="7"/>
      <c r="R28" s="3" t="s">
        <v>26</v>
      </c>
    </row>
    <row r="29">
      <c r="A29" s="1">
        <v>5.8574113E8</v>
      </c>
      <c r="B29" s="1">
        <v>1.7174024E7</v>
      </c>
      <c r="C29" s="15" t="s">
        <v>18</v>
      </c>
      <c r="D29" s="1">
        <v>1.7692317E7</v>
      </c>
      <c r="E29" s="11">
        <f>+5566992553152</f>
        <v>5566992553152</v>
      </c>
      <c r="F29" s="15" t="s">
        <v>83</v>
      </c>
      <c r="G29" s="15" t="s">
        <v>20</v>
      </c>
      <c r="H29" s="15" t="s">
        <v>86</v>
      </c>
      <c r="I29" s="11"/>
      <c r="J29" s="15" t="s">
        <v>22</v>
      </c>
      <c r="K29" s="15" t="s">
        <v>22</v>
      </c>
      <c r="L29" s="16">
        <v>45816.64399305556</v>
      </c>
      <c r="M29" s="15" t="s">
        <v>87</v>
      </c>
      <c r="N29" s="5" t="s">
        <v>24</v>
      </c>
      <c r="O29" s="15" t="s">
        <v>22</v>
      </c>
      <c r="P29" s="15" t="s">
        <v>15</v>
      </c>
      <c r="Q29" s="11"/>
      <c r="R29" s="3" t="s">
        <v>26</v>
      </c>
    </row>
    <row r="30">
      <c r="A30" s="1">
        <v>5.85640524E8</v>
      </c>
      <c r="B30" s="1">
        <v>1.7109343E7</v>
      </c>
      <c r="C30" s="2" t="s">
        <v>77</v>
      </c>
      <c r="D30" s="1">
        <v>1.7582588E7</v>
      </c>
      <c r="E30" s="7">
        <f t="shared" ref="E30:E32" si="3">+5566996649750</f>
        <v>5566996649750</v>
      </c>
      <c r="F30" s="2" t="s">
        <v>71</v>
      </c>
      <c r="G30" s="2" t="s">
        <v>50</v>
      </c>
      <c r="H30" s="2" t="s">
        <v>88</v>
      </c>
      <c r="I30" s="2" t="s">
        <v>89</v>
      </c>
      <c r="J30" s="2" t="s">
        <v>22</v>
      </c>
      <c r="K30" s="2" t="s">
        <v>22</v>
      </c>
      <c r="L30" s="14">
        <v>45816.297106481485</v>
      </c>
      <c r="M30" s="2" t="s">
        <v>90</v>
      </c>
      <c r="N30" s="5" t="s">
        <v>54</v>
      </c>
      <c r="O30" s="2" t="s">
        <v>22</v>
      </c>
      <c r="P30" s="2" t="s">
        <v>22</v>
      </c>
      <c r="Q30" s="7"/>
      <c r="R30" s="3" t="s">
        <v>26</v>
      </c>
    </row>
    <row r="31">
      <c r="A31" s="1">
        <v>5.85637975E8</v>
      </c>
      <c r="B31" s="1">
        <v>1.7109343E7</v>
      </c>
      <c r="C31" s="15" t="s">
        <v>77</v>
      </c>
      <c r="D31" s="1">
        <v>1.7582588E7</v>
      </c>
      <c r="E31" s="11">
        <f t="shared" si="3"/>
        <v>5566996649750</v>
      </c>
      <c r="F31" s="15" t="s">
        <v>71</v>
      </c>
      <c r="G31" s="15" t="s">
        <v>50</v>
      </c>
      <c r="H31" s="15" t="s">
        <v>91</v>
      </c>
      <c r="I31" s="15" t="s">
        <v>89</v>
      </c>
      <c r="J31" s="15" t="s">
        <v>22</v>
      </c>
      <c r="K31" s="15" t="s">
        <v>22</v>
      </c>
      <c r="L31" s="16">
        <v>45816.285787037035</v>
      </c>
      <c r="M31" s="15" t="s">
        <v>90</v>
      </c>
      <c r="N31" s="5" t="s">
        <v>54</v>
      </c>
      <c r="O31" s="15" t="s">
        <v>22</v>
      </c>
      <c r="P31" s="15" t="s">
        <v>22</v>
      </c>
      <c r="Q31" s="11"/>
      <c r="R31" s="3" t="s">
        <v>26</v>
      </c>
    </row>
    <row r="32">
      <c r="A32" s="1">
        <v>74897.0</v>
      </c>
      <c r="B32" s="1">
        <v>1.7174024E7</v>
      </c>
      <c r="C32" s="2" t="s">
        <v>18</v>
      </c>
      <c r="D32" s="1">
        <v>1.7582588E7</v>
      </c>
      <c r="E32" s="7">
        <f t="shared" si="3"/>
        <v>5566996649750</v>
      </c>
      <c r="F32" s="2" t="s">
        <v>71</v>
      </c>
      <c r="G32" s="2" t="s">
        <v>50</v>
      </c>
      <c r="H32" s="2" t="s">
        <v>92</v>
      </c>
      <c r="I32" s="2" t="s">
        <v>93</v>
      </c>
      <c r="J32" s="2" t="s">
        <v>22</v>
      </c>
      <c r="K32" s="2" t="s">
        <v>22</v>
      </c>
      <c r="L32" s="14">
        <v>45817.30511574074</v>
      </c>
      <c r="M32" s="2" t="s">
        <v>94</v>
      </c>
      <c r="N32" s="5" t="s">
        <v>54</v>
      </c>
      <c r="O32" s="2" t="s">
        <v>22</v>
      </c>
      <c r="P32" s="2" t="s">
        <v>22</v>
      </c>
      <c r="Q32" s="7"/>
      <c r="R32" s="3" t="s">
        <v>26</v>
      </c>
    </row>
    <row r="33" ht="18.75" customHeight="1">
      <c r="A33" s="1">
        <v>5.86775794E8</v>
      </c>
      <c r="B33" s="1">
        <v>1.7174024E7</v>
      </c>
      <c r="C33" s="2" t="s">
        <v>18</v>
      </c>
      <c r="D33" s="1">
        <v>1.7279596E7</v>
      </c>
      <c r="E33" s="7">
        <f>+5566999853140</f>
        <v>5566999853140</v>
      </c>
      <c r="F33" s="2" t="s">
        <v>95</v>
      </c>
      <c r="G33" s="2" t="s">
        <v>20</v>
      </c>
      <c r="H33" s="2" t="s">
        <v>96</v>
      </c>
      <c r="I33" s="7"/>
      <c r="J33" s="2" t="s">
        <v>22</v>
      </c>
      <c r="K33" s="2" t="s">
        <v>22</v>
      </c>
      <c r="L33" s="14">
        <v>45820.999560185184</v>
      </c>
      <c r="M33" s="2" t="s">
        <v>87</v>
      </c>
      <c r="N33" s="5" t="s">
        <v>24</v>
      </c>
      <c r="O33" s="2" t="s">
        <v>22</v>
      </c>
      <c r="P33" s="2" t="s">
        <v>15</v>
      </c>
      <c r="Q33" s="7"/>
      <c r="R33" s="3" t="s">
        <v>26</v>
      </c>
    </row>
    <row r="34">
      <c r="A34" s="1">
        <v>5.8713256E8</v>
      </c>
      <c r="B34" s="1">
        <v>1.7177142E7</v>
      </c>
      <c r="C34" s="2" t="s">
        <v>97</v>
      </c>
      <c r="D34" s="1">
        <v>1.77303E7</v>
      </c>
      <c r="E34" s="17">
        <f t="shared" ref="E34:E35" si="4">+5593992024339</f>
        <v>5593992024339</v>
      </c>
      <c r="F34" s="2" t="s">
        <v>98</v>
      </c>
      <c r="G34" s="2" t="s">
        <v>50</v>
      </c>
      <c r="H34" s="2" t="s">
        <v>99</v>
      </c>
      <c r="I34" s="2" t="s">
        <v>100</v>
      </c>
      <c r="J34" s="2" t="s">
        <v>22</v>
      </c>
      <c r="K34" s="2" t="s">
        <v>22</v>
      </c>
      <c r="L34" s="14">
        <v>45822.37432870371</v>
      </c>
      <c r="M34" s="2" t="s">
        <v>53</v>
      </c>
      <c r="N34" s="5" t="s">
        <v>54</v>
      </c>
      <c r="O34" s="2" t="s">
        <v>22</v>
      </c>
      <c r="P34" s="2" t="s">
        <v>22</v>
      </c>
      <c r="Q34" s="7"/>
      <c r="R34" s="3" t="s">
        <v>60</v>
      </c>
    </row>
    <row r="35">
      <c r="A35" s="1">
        <v>5.87131191E8</v>
      </c>
      <c r="B35" s="1">
        <v>1.7291892E7</v>
      </c>
      <c r="C35" s="15" t="s">
        <v>56</v>
      </c>
      <c r="D35" s="1">
        <v>1.77303E7</v>
      </c>
      <c r="E35" s="11">
        <f t="shared" si="4"/>
        <v>5593992024339</v>
      </c>
      <c r="F35" s="15" t="s">
        <v>98</v>
      </c>
      <c r="G35" s="15" t="s">
        <v>50</v>
      </c>
      <c r="H35" s="15" t="s">
        <v>99</v>
      </c>
      <c r="I35" s="15" t="s">
        <v>100</v>
      </c>
      <c r="J35" s="15" t="s">
        <v>22</v>
      </c>
      <c r="K35" s="15" t="s">
        <v>22</v>
      </c>
      <c r="L35" s="16">
        <v>45822.37138888889</v>
      </c>
      <c r="M35" s="15" t="s">
        <v>101</v>
      </c>
      <c r="N35" s="5" t="s">
        <v>54</v>
      </c>
      <c r="O35" s="15" t="s">
        <v>22</v>
      </c>
      <c r="P35" s="15" t="s">
        <v>22</v>
      </c>
      <c r="Q35" s="11"/>
      <c r="R35" s="3" t="s">
        <v>60</v>
      </c>
    </row>
    <row r="36">
      <c r="A36" s="1">
        <v>5.87456567E8</v>
      </c>
      <c r="B36" s="1">
        <v>1.7174024E7</v>
      </c>
      <c r="C36" s="2" t="s">
        <v>18</v>
      </c>
      <c r="D36" s="1">
        <v>1.7746435E7</v>
      </c>
      <c r="E36" s="7">
        <f>+5593981138614</f>
        <v>5593981138614</v>
      </c>
      <c r="F36" s="2" t="s">
        <v>83</v>
      </c>
      <c r="G36" s="2" t="s">
        <v>20</v>
      </c>
      <c r="H36" s="2" t="s">
        <v>102</v>
      </c>
      <c r="I36" s="7"/>
      <c r="J36" s="2" t="s">
        <v>22</v>
      </c>
      <c r="K36" s="2" t="s">
        <v>22</v>
      </c>
      <c r="L36" s="14">
        <v>45823.51726851852</v>
      </c>
      <c r="M36" s="2" t="s">
        <v>87</v>
      </c>
      <c r="N36" s="5" t="s">
        <v>24</v>
      </c>
      <c r="O36" s="2" t="s">
        <v>22</v>
      </c>
      <c r="P36" s="2" t="s">
        <v>15</v>
      </c>
      <c r="Q36" s="7"/>
      <c r="R36" s="3" t="s">
        <v>26</v>
      </c>
    </row>
    <row r="37">
      <c r="A37" s="1">
        <v>5.87739471E8</v>
      </c>
      <c r="B37" s="1">
        <v>1.7177142E7</v>
      </c>
      <c r="C37" s="2" t="s">
        <v>97</v>
      </c>
      <c r="D37" s="1">
        <v>1.7275609E7</v>
      </c>
      <c r="E37" s="7">
        <f t="shared" ref="E37:E38" si="5">+5573998669450</f>
        <v>5573998669450</v>
      </c>
      <c r="F37" s="2" t="s">
        <v>103</v>
      </c>
      <c r="G37" s="2" t="s">
        <v>20</v>
      </c>
      <c r="H37" s="2" t="s">
        <v>104</v>
      </c>
      <c r="I37" s="2" t="s">
        <v>105</v>
      </c>
      <c r="J37" s="2" t="s">
        <v>22</v>
      </c>
      <c r="K37" s="2" t="s">
        <v>22</v>
      </c>
      <c r="L37" s="14">
        <v>45824.55189814815</v>
      </c>
      <c r="M37" s="2" t="s">
        <v>87</v>
      </c>
      <c r="N37" s="5" t="s">
        <v>24</v>
      </c>
      <c r="O37" s="2" t="s">
        <v>22</v>
      </c>
      <c r="P37" s="2" t="s">
        <v>22</v>
      </c>
      <c r="Q37" s="7"/>
      <c r="R37" s="3" t="s">
        <v>26</v>
      </c>
    </row>
    <row r="38">
      <c r="A38" s="1">
        <v>5.87738402E8</v>
      </c>
      <c r="B38" s="1">
        <v>1.7174024E7</v>
      </c>
      <c r="C38" s="15" t="s">
        <v>18</v>
      </c>
      <c r="D38" s="1">
        <v>1.7275609E7</v>
      </c>
      <c r="E38" s="11">
        <f t="shared" si="5"/>
        <v>5573998669450</v>
      </c>
      <c r="F38" s="15" t="s">
        <v>103</v>
      </c>
      <c r="G38" s="15" t="s">
        <v>20</v>
      </c>
      <c r="H38" s="15" t="s">
        <v>106</v>
      </c>
      <c r="I38" s="15" t="s">
        <v>105</v>
      </c>
      <c r="J38" s="15" t="s">
        <v>22</v>
      </c>
      <c r="K38" s="15" t="s">
        <v>22</v>
      </c>
      <c r="L38" s="16">
        <v>45824.543333333335</v>
      </c>
      <c r="M38" s="15" t="s">
        <v>107</v>
      </c>
      <c r="N38" s="5" t="s">
        <v>24</v>
      </c>
      <c r="O38" s="15" t="s">
        <v>22</v>
      </c>
      <c r="P38" s="15" t="s">
        <v>22</v>
      </c>
      <c r="Q38" s="11"/>
      <c r="R38" s="3" t="s">
        <v>26</v>
      </c>
    </row>
    <row r="39">
      <c r="A39" s="1">
        <v>5.88716481E8</v>
      </c>
      <c r="B39" s="1">
        <v>1.7291892E7</v>
      </c>
      <c r="C39" s="2" t="s">
        <v>56</v>
      </c>
      <c r="D39" s="1">
        <v>1.7659276E7</v>
      </c>
      <c r="E39" s="7">
        <f>+5566996083399</f>
        <v>5566996083399</v>
      </c>
      <c r="F39" s="2" t="s">
        <v>83</v>
      </c>
      <c r="G39" s="2" t="s">
        <v>20</v>
      </c>
      <c r="H39" s="2" t="s">
        <v>108</v>
      </c>
      <c r="I39" s="7"/>
      <c r="J39" s="2" t="s">
        <v>22</v>
      </c>
      <c r="K39" s="2" t="s">
        <v>22</v>
      </c>
      <c r="L39" s="14">
        <v>45828.52445601852</v>
      </c>
      <c r="M39" s="2" t="s">
        <v>109</v>
      </c>
      <c r="N39" s="5" t="s">
        <v>24</v>
      </c>
      <c r="O39" s="2" t="s">
        <v>22</v>
      </c>
      <c r="P39" s="2" t="s">
        <v>15</v>
      </c>
      <c r="Q39" s="7"/>
      <c r="R39" s="3" t="s">
        <v>26</v>
      </c>
    </row>
    <row r="40">
      <c r="A40" s="1">
        <v>5.92173892E8</v>
      </c>
      <c r="B40" s="1">
        <v>1.7109343E7</v>
      </c>
      <c r="C40" s="2" t="s">
        <v>77</v>
      </c>
      <c r="D40" s="1">
        <v>1.7830219E7</v>
      </c>
      <c r="E40" s="7">
        <f>+5566996991374</f>
        <v>5566996991374</v>
      </c>
      <c r="F40" s="2" t="s">
        <v>110</v>
      </c>
      <c r="G40" s="2" t="s">
        <v>20</v>
      </c>
      <c r="H40" s="2" t="s">
        <v>111</v>
      </c>
      <c r="I40" s="2" t="s">
        <v>112</v>
      </c>
      <c r="J40" s="2" t="s">
        <v>22</v>
      </c>
      <c r="K40" s="2" t="s">
        <v>22</v>
      </c>
      <c r="L40" s="14">
        <v>45841.89234953704</v>
      </c>
      <c r="M40" s="2" t="s">
        <v>87</v>
      </c>
      <c r="N40" s="5" t="s">
        <v>24</v>
      </c>
      <c r="O40" s="2" t="s">
        <v>22</v>
      </c>
      <c r="P40" s="2" t="s">
        <v>22</v>
      </c>
      <c r="Q40" s="7"/>
      <c r="R40" s="3" t="s">
        <v>60</v>
      </c>
    </row>
    <row r="41">
      <c r="A41" s="1">
        <v>5.95746392E8</v>
      </c>
      <c r="B41" s="1">
        <v>1.7174024E7</v>
      </c>
      <c r="C41" s="2" t="s">
        <v>18</v>
      </c>
      <c r="D41" s="1">
        <v>1.737477E7</v>
      </c>
      <c r="E41" s="7">
        <f>+5566999047941</f>
        <v>5566999047941</v>
      </c>
      <c r="F41" s="2" t="s">
        <v>49</v>
      </c>
      <c r="G41" s="2" t="s">
        <v>20</v>
      </c>
      <c r="H41" s="2" t="s">
        <v>113</v>
      </c>
      <c r="I41" s="2" t="s">
        <v>114</v>
      </c>
      <c r="J41" s="2" t="s">
        <v>22</v>
      </c>
      <c r="K41" s="2" t="s">
        <v>22</v>
      </c>
      <c r="L41" s="14">
        <v>45855.70822916667</v>
      </c>
      <c r="M41" s="2" t="s">
        <v>90</v>
      </c>
      <c r="N41" s="5" t="s">
        <v>54</v>
      </c>
      <c r="O41" s="2" t="s">
        <v>22</v>
      </c>
      <c r="P41" s="2" t="s">
        <v>22</v>
      </c>
      <c r="Q41" s="7"/>
      <c r="R41" s="3" t="s">
        <v>26</v>
      </c>
    </row>
    <row r="42">
      <c r="A42" s="1">
        <v>5.95724861E8</v>
      </c>
      <c r="B42" s="1">
        <v>1.7174024E7</v>
      </c>
      <c r="C42" s="15" t="s">
        <v>18</v>
      </c>
      <c r="D42" s="1">
        <v>1.8006201E7</v>
      </c>
      <c r="E42" s="11">
        <f>+5566999652672</f>
        <v>5566999652672</v>
      </c>
      <c r="F42" s="15" t="s">
        <v>115</v>
      </c>
      <c r="G42" s="15" t="s">
        <v>20</v>
      </c>
      <c r="H42" s="15" t="s">
        <v>116</v>
      </c>
      <c r="I42" s="11"/>
      <c r="J42" s="15" t="s">
        <v>22</v>
      </c>
      <c r="K42" s="15" t="s">
        <v>22</v>
      </c>
      <c r="L42" s="16">
        <v>45855.52328703704</v>
      </c>
      <c r="M42" s="15" t="s">
        <v>28</v>
      </c>
      <c r="N42" s="5" t="s">
        <v>24</v>
      </c>
      <c r="O42" s="15" t="s">
        <v>22</v>
      </c>
      <c r="P42" s="15" t="s">
        <v>15</v>
      </c>
      <c r="Q42" s="11"/>
      <c r="R42" s="3" t="s">
        <v>26</v>
      </c>
    </row>
    <row r="43">
      <c r="A43" s="1">
        <v>5.95701963E8</v>
      </c>
      <c r="B43" s="1">
        <v>1.7174024E7</v>
      </c>
      <c r="C43" s="2" t="s">
        <v>18</v>
      </c>
      <c r="D43" s="1">
        <v>1.7225866E7</v>
      </c>
      <c r="E43" s="7">
        <f>+556699652672</f>
        <v>556699652672</v>
      </c>
      <c r="F43" s="2" t="s">
        <v>117</v>
      </c>
      <c r="G43" s="2" t="s">
        <v>50</v>
      </c>
      <c r="H43" s="2" t="s">
        <v>118</v>
      </c>
      <c r="I43" s="2" t="s">
        <v>114</v>
      </c>
      <c r="J43" s="2" t="s">
        <v>22</v>
      </c>
      <c r="K43" s="2" t="s">
        <v>22</v>
      </c>
      <c r="L43" s="14">
        <v>45855.43482638889</v>
      </c>
      <c r="M43" s="2" t="s">
        <v>28</v>
      </c>
      <c r="N43" s="5" t="s">
        <v>24</v>
      </c>
      <c r="O43" s="2" t="s">
        <v>22</v>
      </c>
      <c r="P43" s="2" t="s">
        <v>22</v>
      </c>
      <c r="Q43" s="7"/>
      <c r="R43" s="3" t="s">
        <v>26</v>
      </c>
    </row>
    <row r="44">
      <c r="A44" s="1">
        <v>5.96420111E8</v>
      </c>
      <c r="B44" s="1">
        <v>1.720766E7</v>
      </c>
      <c r="C44" s="2" t="s">
        <v>119</v>
      </c>
      <c r="D44" s="1">
        <v>1.7569951E7</v>
      </c>
      <c r="E44" s="7">
        <f>+5562991082346</f>
        <v>5562991082346</v>
      </c>
      <c r="F44" s="2" t="s">
        <v>120</v>
      </c>
      <c r="G44" s="2" t="s">
        <v>20</v>
      </c>
      <c r="H44" s="2" t="s">
        <v>116</v>
      </c>
      <c r="I44" s="2" t="s">
        <v>121</v>
      </c>
      <c r="J44" s="2" t="s">
        <v>22</v>
      </c>
      <c r="K44" s="2" t="s">
        <v>22</v>
      </c>
      <c r="L44" s="14">
        <v>45858.85700231481</v>
      </c>
      <c r="M44" s="2" t="s">
        <v>101</v>
      </c>
      <c r="N44" s="5" t="s">
        <v>54</v>
      </c>
      <c r="O44" s="2" t="s">
        <v>22</v>
      </c>
      <c r="P44" s="2" t="s">
        <v>22</v>
      </c>
      <c r="Q44" s="7"/>
      <c r="R44" s="3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6.25"/>
    <col customWidth="1" min="3" max="3" width="78.13"/>
    <col customWidth="1" min="4" max="4" width="104.13"/>
    <col customWidth="1" min="7" max="7" width="32.13"/>
    <col customWidth="1" min="8" max="8" width="29.0"/>
    <col customWidth="1" min="9" max="9" width="38.75"/>
  </cols>
  <sheetData>
    <row r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16</v>
      </c>
      <c r="L1" s="3" t="s">
        <v>17</v>
      </c>
    </row>
    <row r="2">
      <c r="A2" s="5" t="s">
        <v>19</v>
      </c>
      <c r="B2" s="5" t="s">
        <v>20</v>
      </c>
      <c r="C2" s="5" t="s">
        <v>122</v>
      </c>
      <c r="D2" s="5" t="s">
        <v>29</v>
      </c>
      <c r="E2" s="5" t="s">
        <v>22</v>
      </c>
      <c r="F2" s="5" t="s">
        <v>22</v>
      </c>
      <c r="G2" s="8">
        <v>45751.68105324074</v>
      </c>
      <c r="H2" s="5" t="s">
        <v>53</v>
      </c>
      <c r="I2" s="5" t="s">
        <v>54</v>
      </c>
      <c r="J2" s="5" t="s">
        <v>22</v>
      </c>
      <c r="K2" s="7"/>
    </row>
    <row r="3">
      <c r="A3" s="5" t="s">
        <v>19</v>
      </c>
      <c r="B3" s="5" t="s">
        <v>20</v>
      </c>
      <c r="C3" s="5" t="s">
        <v>122</v>
      </c>
      <c r="D3" s="5" t="s">
        <v>29</v>
      </c>
      <c r="E3" s="5" t="s">
        <v>22</v>
      </c>
      <c r="F3" s="5" t="s">
        <v>22</v>
      </c>
      <c r="G3" s="8">
        <v>45751.68105324074</v>
      </c>
      <c r="H3" s="5" t="s">
        <v>53</v>
      </c>
      <c r="I3" s="5" t="s">
        <v>54</v>
      </c>
      <c r="J3" s="5" t="s">
        <v>22</v>
      </c>
    </row>
    <row r="4">
      <c r="A4" s="5" t="s">
        <v>19</v>
      </c>
      <c r="B4" s="5" t="s">
        <v>20</v>
      </c>
      <c r="C4" s="5" t="s">
        <v>122</v>
      </c>
      <c r="D4" s="5" t="s">
        <v>29</v>
      </c>
      <c r="E4" s="5" t="s">
        <v>22</v>
      </c>
      <c r="F4" s="5" t="s">
        <v>22</v>
      </c>
      <c r="G4" s="8">
        <v>45751.68105324074</v>
      </c>
      <c r="H4" s="5" t="s">
        <v>53</v>
      </c>
      <c r="I4" s="5" t="s">
        <v>54</v>
      </c>
      <c r="J4" s="5" t="s">
        <v>22</v>
      </c>
      <c r="K4" s="7"/>
    </row>
    <row r="5">
      <c r="A5" s="5" t="s">
        <v>39</v>
      </c>
      <c r="B5" s="5" t="s">
        <v>50</v>
      </c>
      <c r="C5" s="5" t="s">
        <v>123</v>
      </c>
      <c r="D5" s="5" t="s">
        <v>37</v>
      </c>
      <c r="E5" s="5" t="s">
        <v>22</v>
      </c>
      <c r="F5" s="5" t="s">
        <v>22</v>
      </c>
      <c r="G5" s="8">
        <v>45758.639027777775</v>
      </c>
      <c r="H5" s="5" t="s">
        <v>124</v>
      </c>
      <c r="I5" s="5" t="s">
        <v>24</v>
      </c>
      <c r="J5" s="5" t="s">
        <v>22</v>
      </c>
      <c r="K5" s="17"/>
      <c r="L5" s="8"/>
      <c r="M5" s="5"/>
      <c r="N5" s="5"/>
      <c r="O5" s="5"/>
      <c r="P5" s="5"/>
      <c r="Q5" s="7"/>
    </row>
    <row r="6">
      <c r="A6" s="5" t="s">
        <v>39</v>
      </c>
      <c r="B6" s="5" t="s">
        <v>50</v>
      </c>
      <c r="C6" s="5" t="s">
        <v>123</v>
      </c>
      <c r="D6" s="5" t="s">
        <v>37</v>
      </c>
      <c r="E6" s="5" t="s">
        <v>22</v>
      </c>
      <c r="F6" s="5" t="s">
        <v>22</v>
      </c>
      <c r="G6" s="8">
        <v>45758.639027777775</v>
      </c>
      <c r="H6" s="5" t="s">
        <v>124</v>
      </c>
      <c r="I6" s="5" t="s">
        <v>24</v>
      </c>
      <c r="J6" s="7"/>
    </row>
    <row r="7">
      <c r="A7" s="5" t="s">
        <v>39</v>
      </c>
      <c r="B7" s="5" t="s">
        <v>50</v>
      </c>
      <c r="C7" s="5" t="s">
        <v>125</v>
      </c>
      <c r="D7" s="5" t="s">
        <v>126</v>
      </c>
      <c r="E7" s="5" t="s">
        <v>22</v>
      </c>
      <c r="F7" s="5" t="s">
        <v>22</v>
      </c>
      <c r="G7" s="8">
        <v>45780.58945601852</v>
      </c>
      <c r="H7" s="5" t="s">
        <v>22</v>
      </c>
      <c r="I7" s="5" t="s">
        <v>54</v>
      </c>
      <c r="J7" s="5" t="s">
        <v>22</v>
      </c>
      <c r="K7" s="7"/>
    </row>
    <row r="8">
      <c r="A8" s="5" t="s">
        <v>127</v>
      </c>
      <c r="B8" s="5" t="s">
        <v>20</v>
      </c>
      <c r="C8" s="5" t="s">
        <v>128</v>
      </c>
      <c r="D8" s="5" t="s">
        <v>129</v>
      </c>
      <c r="E8" s="5" t="s">
        <v>22</v>
      </c>
      <c r="F8" s="5" t="s">
        <v>22</v>
      </c>
      <c r="G8" s="8">
        <v>45787.418275462966</v>
      </c>
      <c r="H8" s="5" t="s">
        <v>22</v>
      </c>
      <c r="I8" s="5" t="s">
        <v>54</v>
      </c>
      <c r="J8" s="5" t="s">
        <v>22</v>
      </c>
      <c r="K8" s="17"/>
      <c r="L8" s="8"/>
      <c r="M8" s="5"/>
      <c r="N8" s="5"/>
      <c r="O8" s="5"/>
      <c r="P8" s="5"/>
      <c r="Q8" s="7"/>
    </row>
    <row r="9">
      <c r="A9" s="9" t="s">
        <v>127</v>
      </c>
      <c r="B9" s="9" t="s">
        <v>20</v>
      </c>
      <c r="C9" s="9" t="s">
        <v>128</v>
      </c>
      <c r="D9" s="9" t="s">
        <v>129</v>
      </c>
      <c r="E9" s="9" t="s">
        <v>22</v>
      </c>
      <c r="F9" s="9" t="s">
        <v>22</v>
      </c>
      <c r="G9" s="12">
        <v>45787.41159722222</v>
      </c>
      <c r="H9" s="9" t="s">
        <v>22</v>
      </c>
      <c r="I9" s="9" t="s">
        <v>54</v>
      </c>
      <c r="J9" s="9" t="s">
        <v>22</v>
      </c>
      <c r="K9" s="18"/>
      <c r="L9" s="12"/>
      <c r="M9" s="9"/>
      <c r="N9" s="9"/>
      <c r="O9" s="9"/>
      <c r="P9" s="9"/>
      <c r="Q9" s="11"/>
    </row>
    <row r="10">
      <c r="A10" s="5" t="s">
        <v>130</v>
      </c>
      <c r="B10" s="5" t="s">
        <v>20</v>
      </c>
      <c r="C10" s="5" t="s">
        <v>131</v>
      </c>
      <c r="D10" s="5" t="s">
        <v>132</v>
      </c>
      <c r="E10" s="5" t="s">
        <v>22</v>
      </c>
      <c r="F10" s="5" t="s">
        <v>22</v>
      </c>
      <c r="G10" s="8">
        <v>45788.52174768518</v>
      </c>
      <c r="H10" s="5" t="s">
        <v>22</v>
      </c>
      <c r="I10" s="5" t="s">
        <v>54</v>
      </c>
      <c r="J10" s="5" t="s">
        <v>22</v>
      </c>
      <c r="K10" s="7"/>
    </row>
    <row r="11">
      <c r="A11" s="5" t="s">
        <v>130</v>
      </c>
      <c r="B11" s="5" t="s">
        <v>20</v>
      </c>
      <c r="C11" s="5" t="s">
        <v>131</v>
      </c>
      <c r="D11" s="5" t="s">
        <v>132</v>
      </c>
      <c r="E11" s="5" t="s">
        <v>22</v>
      </c>
      <c r="F11" s="5" t="s">
        <v>22</v>
      </c>
      <c r="G11" s="8">
        <v>45788.52174768518</v>
      </c>
      <c r="H11" s="5" t="s">
        <v>22</v>
      </c>
      <c r="I11" s="5" t="s">
        <v>54</v>
      </c>
      <c r="J11" s="5" t="s">
        <v>22</v>
      </c>
      <c r="K11" s="7"/>
    </row>
    <row r="12">
      <c r="A12" s="9" t="s">
        <v>49</v>
      </c>
      <c r="B12" s="9" t="s">
        <v>50</v>
      </c>
      <c r="C12" s="9" t="s">
        <v>133</v>
      </c>
      <c r="D12" s="9" t="s">
        <v>134</v>
      </c>
      <c r="E12" s="9" t="s">
        <v>22</v>
      </c>
      <c r="F12" s="9" t="s">
        <v>22</v>
      </c>
      <c r="G12" s="12">
        <v>45789.392905092594</v>
      </c>
      <c r="H12" s="9" t="s">
        <v>22</v>
      </c>
      <c r="I12" s="9" t="s">
        <v>54</v>
      </c>
      <c r="J12" s="9" t="s">
        <v>22</v>
      </c>
      <c r="K12" s="11"/>
    </row>
    <row r="13">
      <c r="A13" s="5" t="s">
        <v>49</v>
      </c>
      <c r="B13" s="5" t="s">
        <v>50</v>
      </c>
      <c r="C13" s="5" t="s">
        <v>133</v>
      </c>
      <c r="D13" s="5" t="s">
        <v>134</v>
      </c>
      <c r="E13" s="5" t="s">
        <v>22</v>
      </c>
      <c r="F13" s="5" t="s">
        <v>22</v>
      </c>
      <c r="G13" s="8">
        <v>45789.3927662037</v>
      </c>
      <c r="H13" s="5" t="s">
        <v>22</v>
      </c>
      <c r="I13" s="5" t="s">
        <v>54</v>
      </c>
      <c r="J13" s="5" t="s">
        <v>22</v>
      </c>
      <c r="K13" s="7"/>
    </row>
    <row r="14">
      <c r="A14" s="5" t="s">
        <v>135</v>
      </c>
      <c r="B14" s="5" t="s">
        <v>20</v>
      </c>
      <c r="C14" s="5" t="s">
        <v>136</v>
      </c>
      <c r="D14" s="5" t="s">
        <v>136</v>
      </c>
      <c r="E14" s="5" t="s">
        <v>22</v>
      </c>
      <c r="F14" s="5" t="s">
        <v>22</v>
      </c>
      <c r="G14" s="8">
        <v>45790.86163194444</v>
      </c>
      <c r="H14" s="5" t="s">
        <v>22</v>
      </c>
      <c r="I14" s="5" t="s">
        <v>54</v>
      </c>
      <c r="J14" s="5" t="s">
        <v>22</v>
      </c>
      <c r="K14" s="7"/>
    </row>
    <row r="15">
      <c r="A15" s="9" t="s">
        <v>137</v>
      </c>
      <c r="B15" s="9" t="s">
        <v>20</v>
      </c>
      <c r="C15" s="9" t="s">
        <v>138</v>
      </c>
      <c r="D15" s="9" t="s">
        <v>139</v>
      </c>
      <c r="E15" s="9" t="s">
        <v>22</v>
      </c>
      <c r="F15" s="9" t="s">
        <v>22</v>
      </c>
      <c r="G15" s="12">
        <v>45790.776041666664</v>
      </c>
      <c r="H15" s="9" t="s">
        <v>22</v>
      </c>
      <c r="I15" s="9" t="s">
        <v>54</v>
      </c>
      <c r="J15" s="9" t="s">
        <v>22</v>
      </c>
    </row>
    <row r="16">
      <c r="A16" s="5" t="s">
        <v>137</v>
      </c>
      <c r="B16" s="5" t="s">
        <v>20</v>
      </c>
      <c r="C16" s="5" t="s">
        <v>136</v>
      </c>
      <c r="D16" s="5" t="s">
        <v>136</v>
      </c>
      <c r="E16" s="5" t="s">
        <v>22</v>
      </c>
      <c r="F16" s="5" t="s">
        <v>22</v>
      </c>
      <c r="G16" s="8">
        <v>45790.86163194444</v>
      </c>
      <c r="H16" s="5" t="s">
        <v>22</v>
      </c>
      <c r="I16" s="5" t="s">
        <v>54</v>
      </c>
      <c r="J16" s="5" t="s">
        <v>22</v>
      </c>
      <c r="K16" s="7"/>
    </row>
    <row r="17">
      <c r="A17" s="5" t="s">
        <v>39</v>
      </c>
      <c r="B17" s="5" t="s">
        <v>50</v>
      </c>
      <c r="C17" s="5" t="s">
        <v>123</v>
      </c>
      <c r="D17" s="5" t="s">
        <v>140</v>
      </c>
      <c r="E17" s="5" t="s">
        <v>22</v>
      </c>
      <c r="F17" s="5" t="s">
        <v>22</v>
      </c>
      <c r="G17" s="8">
        <v>45793.758680555555</v>
      </c>
      <c r="H17" s="5" t="s">
        <v>22</v>
      </c>
      <c r="I17" s="5" t="s">
        <v>54</v>
      </c>
      <c r="J17" s="5" t="s">
        <v>22</v>
      </c>
      <c r="K17" s="7"/>
    </row>
    <row r="18">
      <c r="A18" s="5" t="s">
        <v>141</v>
      </c>
      <c r="B18" s="5" t="s">
        <v>20</v>
      </c>
      <c r="C18" s="5" t="s">
        <v>142</v>
      </c>
      <c r="D18" s="5" t="s">
        <v>143</v>
      </c>
      <c r="E18" s="5" t="s">
        <v>22</v>
      </c>
      <c r="F18" s="5" t="s">
        <v>22</v>
      </c>
      <c r="G18" s="8">
        <v>45794.34998842593</v>
      </c>
      <c r="H18" s="5" t="s">
        <v>22</v>
      </c>
      <c r="I18" s="5" t="s">
        <v>54</v>
      </c>
      <c r="J18" s="5" t="s">
        <v>22</v>
      </c>
      <c r="K18" s="7"/>
    </row>
    <row r="19">
      <c r="A19" s="9" t="s">
        <v>141</v>
      </c>
      <c r="B19" s="9" t="s">
        <v>50</v>
      </c>
      <c r="C19" s="9" t="s">
        <v>142</v>
      </c>
      <c r="D19" s="9" t="s">
        <v>143</v>
      </c>
      <c r="E19" s="9" t="s">
        <v>22</v>
      </c>
      <c r="F19" s="9" t="s">
        <v>22</v>
      </c>
      <c r="G19" s="12">
        <v>45794.34946759259</v>
      </c>
      <c r="H19" s="9" t="s">
        <v>22</v>
      </c>
      <c r="I19" s="9" t="s">
        <v>54</v>
      </c>
      <c r="J19" s="9" t="s">
        <v>22</v>
      </c>
      <c r="K19" s="11"/>
    </row>
    <row r="20">
      <c r="A20" s="5" t="s">
        <v>65</v>
      </c>
      <c r="B20" s="5" t="s">
        <v>20</v>
      </c>
      <c r="C20" s="5" t="s">
        <v>66</v>
      </c>
      <c r="D20" s="5" t="s">
        <v>67</v>
      </c>
      <c r="E20" s="5" t="s">
        <v>22</v>
      </c>
      <c r="F20" s="5" t="s">
        <v>22</v>
      </c>
      <c r="G20" s="8">
        <v>45796.49619212963</v>
      </c>
      <c r="H20" s="5" t="s">
        <v>22</v>
      </c>
      <c r="I20" s="5" t="s">
        <v>54</v>
      </c>
      <c r="J20" s="5" t="s">
        <v>22</v>
      </c>
      <c r="K20" s="7"/>
    </row>
    <row r="21">
      <c r="A21" s="9" t="s">
        <v>65</v>
      </c>
      <c r="B21" s="9" t="s">
        <v>20</v>
      </c>
      <c r="C21" s="9" t="s">
        <v>67</v>
      </c>
      <c r="D21" s="9" t="s">
        <v>55</v>
      </c>
      <c r="E21" s="9" t="s">
        <v>22</v>
      </c>
      <c r="F21" s="9" t="s">
        <v>22</v>
      </c>
      <c r="G21" s="12">
        <v>45796.44888888889</v>
      </c>
      <c r="H21" s="9" t="s">
        <v>22</v>
      </c>
      <c r="I21" s="9" t="s">
        <v>54</v>
      </c>
      <c r="J21" s="9" t="s">
        <v>22</v>
      </c>
      <c r="K21" s="11"/>
    </row>
    <row r="22">
      <c r="A22" s="5" t="s">
        <v>65</v>
      </c>
      <c r="B22" s="5" t="s">
        <v>20</v>
      </c>
      <c r="C22" s="5" t="s">
        <v>67</v>
      </c>
      <c r="D22" s="5" t="s">
        <v>55</v>
      </c>
      <c r="E22" s="5" t="s">
        <v>22</v>
      </c>
      <c r="F22" s="5" t="s">
        <v>22</v>
      </c>
      <c r="G22" s="8">
        <v>45798.43895833333</v>
      </c>
      <c r="H22" s="5" t="s">
        <v>22</v>
      </c>
      <c r="I22" s="5" t="s">
        <v>54</v>
      </c>
      <c r="J22" s="5" t="s">
        <v>22</v>
      </c>
      <c r="K22" s="7"/>
    </row>
    <row r="23">
      <c r="A23" s="9" t="s">
        <v>65</v>
      </c>
      <c r="B23" s="9" t="s">
        <v>20</v>
      </c>
      <c r="C23" s="9" t="s">
        <v>67</v>
      </c>
      <c r="D23" s="9" t="s">
        <v>55</v>
      </c>
      <c r="E23" s="9" t="s">
        <v>22</v>
      </c>
      <c r="F23" s="9" t="s">
        <v>22</v>
      </c>
      <c r="G23" s="12">
        <v>45798.4383912037</v>
      </c>
      <c r="H23" s="9" t="s">
        <v>22</v>
      </c>
      <c r="I23" s="9" t="s">
        <v>54</v>
      </c>
      <c r="J23" s="9" t="s">
        <v>22</v>
      </c>
      <c r="K23" s="11"/>
    </row>
    <row r="24">
      <c r="A24" s="5" t="s">
        <v>65</v>
      </c>
      <c r="B24" s="5" t="s">
        <v>20</v>
      </c>
      <c r="C24" s="5" t="s">
        <v>67</v>
      </c>
      <c r="D24" s="5" t="s">
        <v>55</v>
      </c>
      <c r="E24" s="5" t="s">
        <v>22</v>
      </c>
      <c r="F24" s="5" t="s">
        <v>22</v>
      </c>
      <c r="G24" s="8">
        <v>45798.43895833333</v>
      </c>
      <c r="H24" s="5" t="s">
        <v>22</v>
      </c>
      <c r="I24" s="5" t="s">
        <v>54</v>
      </c>
      <c r="J24" s="5" t="s">
        <v>22</v>
      </c>
      <c r="K24" s="7"/>
    </row>
    <row r="25">
      <c r="A25" s="9" t="s">
        <v>49</v>
      </c>
      <c r="B25" s="9" t="s">
        <v>20</v>
      </c>
      <c r="C25" s="9" t="s">
        <v>133</v>
      </c>
      <c r="D25" s="9" t="s">
        <v>144</v>
      </c>
      <c r="E25" s="9" t="s">
        <v>22</v>
      </c>
      <c r="F25" s="9" t="s">
        <v>22</v>
      </c>
      <c r="G25" s="12">
        <v>45799.71623842593</v>
      </c>
      <c r="H25" s="9" t="s">
        <v>22</v>
      </c>
      <c r="I25" s="9" t="s">
        <v>54</v>
      </c>
      <c r="J25" s="9" t="s">
        <v>22</v>
      </c>
      <c r="K25" s="11"/>
    </row>
    <row r="26">
      <c r="A26" s="5" t="s">
        <v>65</v>
      </c>
      <c r="B26" s="5" t="s">
        <v>20</v>
      </c>
      <c r="C26" s="5" t="s">
        <v>67</v>
      </c>
      <c r="D26" s="5" t="s">
        <v>55</v>
      </c>
      <c r="E26" s="5" t="s">
        <v>22</v>
      </c>
      <c r="F26" s="5" t="s">
        <v>22</v>
      </c>
      <c r="G26" s="8">
        <v>45800.440775462965</v>
      </c>
      <c r="H26" s="5" t="s">
        <v>22</v>
      </c>
      <c r="I26" s="5" t="s">
        <v>54</v>
      </c>
      <c r="J26" s="5" t="s">
        <v>22</v>
      </c>
      <c r="K26" s="7"/>
    </row>
    <row r="27">
      <c r="A27" s="5" t="s">
        <v>71</v>
      </c>
      <c r="B27" s="5" t="s">
        <v>50</v>
      </c>
      <c r="C27" s="5" t="s">
        <v>72</v>
      </c>
      <c r="D27" s="5" t="s">
        <v>73</v>
      </c>
      <c r="E27" s="5" t="s">
        <v>22</v>
      </c>
      <c r="F27" s="5" t="s">
        <v>22</v>
      </c>
      <c r="G27" s="8">
        <v>45804.06732638889</v>
      </c>
      <c r="H27" s="5" t="s">
        <v>22</v>
      </c>
      <c r="I27" s="5" t="s">
        <v>54</v>
      </c>
      <c r="J27" s="5" t="s">
        <v>22</v>
      </c>
      <c r="K27" s="7"/>
    </row>
    <row r="28">
      <c r="A28" s="5" t="s">
        <v>65</v>
      </c>
      <c r="B28" s="5" t="s">
        <v>20</v>
      </c>
      <c r="C28" s="5" t="s">
        <v>67</v>
      </c>
      <c r="D28" s="5" t="s">
        <v>55</v>
      </c>
      <c r="E28" s="5" t="s">
        <v>22</v>
      </c>
      <c r="F28" s="5" t="s">
        <v>22</v>
      </c>
      <c r="G28" s="8">
        <v>45805.449212962965</v>
      </c>
      <c r="H28" s="5" t="s">
        <v>22</v>
      </c>
      <c r="I28" s="5" t="s">
        <v>54</v>
      </c>
      <c r="J28" s="5" t="s">
        <v>22</v>
      </c>
      <c r="K28" s="7"/>
    </row>
    <row r="29">
      <c r="A29" s="5" t="s">
        <v>145</v>
      </c>
      <c r="B29" s="5" t="s">
        <v>20</v>
      </c>
      <c r="C29" s="5" t="s">
        <v>146</v>
      </c>
      <c r="D29" s="5" t="s">
        <v>147</v>
      </c>
      <c r="E29" s="5" t="s">
        <v>22</v>
      </c>
      <c r="F29" s="5" t="s">
        <v>22</v>
      </c>
      <c r="G29" s="8">
        <v>45811.01881944444</v>
      </c>
      <c r="H29" s="5" t="s">
        <v>22</v>
      </c>
      <c r="I29" s="5" t="s">
        <v>54</v>
      </c>
      <c r="J29" s="5" t="s">
        <v>22</v>
      </c>
      <c r="K29" s="7"/>
    </row>
    <row r="30">
      <c r="A30" s="5" t="s">
        <v>148</v>
      </c>
      <c r="B30" s="5" t="s">
        <v>20</v>
      </c>
      <c r="C30" s="5" t="s">
        <v>149</v>
      </c>
      <c r="D30" s="5" t="s">
        <v>150</v>
      </c>
      <c r="E30" s="5" t="s">
        <v>22</v>
      </c>
      <c r="F30" s="5" t="s">
        <v>22</v>
      </c>
      <c r="G30" s="8">
        <v>45815.842453703706</v>
      </c>
      <c r="H30" s="5" t="s">
        <v>22</v>
      </c>
      <c r="I30" s="5" t="s">
        <v>54</v>
      </c>
      <c r="J30" s="5" t="s">
        <v>22</v>
      </c>
      <c r="K30" s="7"/>
    </row>
    <row r="31">
      <c r="A31" s="2" t="s">
        <v>95</v>
      </c>
      <c r="B31" s="2" t="s">
        <v>20</v>
      </c>
      <c r="C31" s="2" t="s">
        <v>151</v>
      </c>
      <c r="D31" s="2" t="s">
        <v>93</v>
      </c>
      <c r="E31" s="2" t="s">
        <v>22</v>
      </c>
      <c r="F31" s="2" t="s">
        <v>22</v>
      </c>
      <c r="G31" s="14">
        <v>45817.35534722222</v>
      </c>
      <c r="H31" s="2" t="s">
        <v>22</v>
      </c>
      <c r="I31" s="5" t="s">
        <v>54</v>
      </c>
      <c r="J31" s="2" t="s">
        <v>22</v>
      </c>
      <c r="K31" s="17"/>
      <c r="L31" s="14"/>
      <c r="M31" s="2"/>
      <c r="N31" s="2"/>
      <c r="O31" s="2"/>
      <c r="P31" s="2"/>
      <c r="Q31" s="7"/>
    </row>
    <row r="32">
      <c r="A32" s="2" t="s">
        <v>80</v>
      </c>
      <c r="B32" s="2" t="s">
        <v>50</v>
      </c>
      <c r="C32" s="2" t="s">
        <v>81</v>
      </c>
      <c r="D32" s="2" t="s">
        <v>152</v>
      </c>
      <c r="E32" s="2" t="s">
        <v>22</v>
      </c>
      <c r="F32" s="2" t="s">
        <v>22</v>
      </c>
      <c r="G32" s="14">
        <v>45819.5781712963</v>
      </c>
      <c r="H32" s="2" t="s">
        <v>22</v>
      </c>
      <c r="I32" s="5" t="s">
        <v>54</v>
      </c>
      <c r="J32" s="2" t="s">
        <v>22</v>
      </c>
      <c r="K32" s="17"/>
      <c r="L32" s="14"/>
      <c r="M32" s="2"/>
      <c r="N32" s="2"/>
      <c r="O32" s="2"/>
      <c r="P32" s="2"/>
      <c r="Q32" s="7"/>
    </row>
    <row r="33">
      <c r="A33" s="2" t="s">
        <v>153</v>
      </c>
      <c r="B33" s="2" t="s">
        <v>20</v>
      </c>
      <c r="C33" s="2" t="s">
        <v>154</v>
      </c>
      <c r="D33" s="2" t="s">
        <v>154</v>
      </c>
      <c r="E33" s="2" t="s">
        <v>22</v>
      </c>
      <c r="F33" s="2" t="s">
        <v>22</v>
      </c>
      <c r="G33" s="14">
        <v>45820.352002314816</v>
      </c>
      <c r="H33" s="2" t="s">
        <v>22</v>
      </c>
      <c r="I33" s="5" t="s">
        <v>54</v>
      </c>
      <c r="J33" s="2" t="s">
        <v>22</v>
      </c>
      <c r="K33" s="17"/>
      <c r="L33" s="16"/>
      <c r="M33" s="15"/>
      <c r="N33" s="15"/>
      <c r="O33" s="15"/>
      <c r="P33" s="15"/>
      <c r="Q33" s="11"/>
    </row>
    <row r="34">
      <c r="A34" s="2" t="s">
        <v>155</v>
      </c>
      <c r="B34" s="2" t="s">
        <v>20</v>
      </c>
      <c r="C34" s="2" t="s">
        <v>156</v>
      </c>
      <c r="D34" s="2" t="s">
        <v>157</v>
      </c>
      <c r="E34" s="2" t="s">
        <v>22</v>
      </c>
      <c r="F34" s="2" t="s">
        <v>22</v>
      </c>
      <c r="G34" s="14">
        <v>45821.37844907407</v>
      </c>
      <c r="H34" s="2" t="s">
        <v>22</v>
      </c>
      <c r="I34" s="5" t="s">
        <v>54</v>
      </c>
      <c r="J34" s="2" t="s">
        <v>22</v>
      </c>
      <c r="K34" s="7"/>
    </row>
    <row r="35">
      <c r="A35" s="2" t="s">
        <v>98</v>
      </c>
      <c r="B35" s="2" t="s">
        <v>20</v>
      </c>
      <c r="C35" s="2" t="s">
        <v>158</v>
      </c>
      <c r="D35" s="2" t="s">
        <v>159</v>
      </c>
      <c r="E35" s="2" t="s">
        <v>22</v>
      </c>
      <c r="F35" s="2" t="s">
        <v>22</v>
      </c>
      <c r="G35" s="14">
        <v>45822.40087962963</v>
      </c>
      <c r="H35" s="2" t="s">
        <v>22</v>
      </c>
      <c r="I35" s="5" t="s">
        <v>54</v>
      </c>
      <c r="J35" s="2" t="s">
        <v>22</v>
      </c>
      <c r="K35" s="7"/>
    </row>
    <row r="36">
      <c r="A36" s="15" t="s">
        <v>98</v>
      </c>
      <c r="B36" s="15" t="s">
        <v>20</v>
      </c>
      <c r="C36" s="15" t="s">
        <v>160</v>
      </c>
      <c r="D36" s="15" t="s">
        <v>159</v>
      </c>
      <c r="E36" s="15" t="s">
        <v>22</v>
      </c>
      <c r="F36" s="15" t="s">
        <v>22</v>
      </c>
      <c r="G36" s="16">
        <v>45822.40013888889</v>
      </c>
      <c r="H36" s="15" t="s">
        <v>22</v>
      </c>
      <c r="I36" s="5" t="s">
        <v>54</v>
      </c>
      <c r="J36" s="15" t="s">
        <v>22</v>
      </c>
      <c r="K36" s="11"/>
    </row>
    <row r="37">
      <c r="A37" s="2" t="s">
        <v>161</v>
      </c>
      <c r="B37" s="2" t="s">
        <v>20</v>
      </c>
      <c r="C37" s="2" t="s">
        <v>162</v>
      </c>
      <c r="D37" s="2" t="s">
        <v>163</v>
      </c>
      <c r="E37" s="2" t="s">
        <v>22</v>
      </c>
      <c r="F37" s="2" t="s">
        <v>22</v>
      </c>
      <c r="G37" s="14">
        <v>45824.28287037037</v>
      </c>
      <c r="H37" s="2" t="s">
        <v>22</v>
      </c>
      <c r="I37" s="5" t="s">
        <v>54</v>
      </c>
      <c r="J37" s="2" t="s">
        <v>22</v>
      </c>
      <c r="K37" s="7"/>
    </row>
    <row r="38">
      <c r="A38" s="15" t="s">
        <v>161</v>
      </c>
      <c r="B38" s="15" t="s">
        <v>20</v>
      </c>
      <c r="C38" s="15" t="s">
        <v>162</v>
      </c>
      <c r="D38" s="15" t="s">
        <v>163</v>
      </c>
      <c r="E38" s="15" t="s">
        <v>22</v>
      </c>
      <c r="F38" s="15" t="s">
        <v>22</v>
      </c>
      <c r="G38" s="16">
        <v>45824.28175925926</v>
      </c>
      <c r="H38" s="15" t="s">
        <v>22</v>
      </c>
      <c r="I38" s="5" t="s">
        <v>54</v>
      </c>
      <c r="J38" s="15" t="s">
        <v>22</v>
      </c>
      <c r="K38" s="11"/>
    </row>
    <row r="39">
      <c r="A39" s="2" t="s">
        <v>68</v>
      </c>
      <c r="B39" s="2" t="s">
        <v>20</v>
      </c>
      <c r="C39" s="2" t="s">
        <v>164</v>
      </c>
      <c r="D39" s="2" t="s">
        <v>70</v>
      </c>
      <c r="E39" s="2" t="s">
        <v>22</v>
      </c>
      <c r="F39" s="2" t="s">
        <v>22</v>
      </c>
      <c r="G39" s="14">
        <v>45824.22222222222</v>
      </c>
      <c r="H39" s="2" t="s">
        <v>22</v>
      </c>
      <c r="I39" s="5" t="s">
        <v>54</v>
      </c>
      <c r="J39" s="2" t="s">
        <v>22</v>
      </c>
      <c r="K39" s="7"/>
    </row>
    <row r="40">
      <c r="A40" s="2" t="s">
        <v>165</v>
      </c>
      <c r="B40" s="2" t="s">
        <v>20</v>
      </c>
      <c r="C40" s="2" t="s">
        <v>166</v>
      </c>
      <c r="D40" s="2" t="s">
        <v>167</v>
      </c>
      <c r="E40" s="2" t="s">
        <v>22</v>
      </c>
      <c r="F40" s="2" t="s">
        <v>22</v>
      </c>
      <c r="G40" s="14">
        <v>45841.89625</v>
      </c>
      <c r="H40" s="2" t="s">
        <v>22</v>
      </c>
      <c r="I40" s="5" t="s">
        <v>54</v>
      </c>
      <c r="J40" s="2" t="s">
        <v>22</v>
      </c>
      <c r="K40" s="7"/>
    </row>
    <row r="41">
      <c r="A41" s="2" t="s">
        <v>168</v>
      </c>
      <c r="B41" s="2" t="s">
        <v>20</v>
      </c>
      <c r="C41" s="2" t="s">
        <v>169</v>
      </c>
      <c r="D41" s="2" t="s">
        <v>170</v>
      </c>
      <c r="E41" s="2" t="s">
        <v>22</v>
      </c>
      <c r="F41" s="2" t="s">
        <v>22</v>
      </c>
      <c r="G41" s="14">
        <v>45843.48606481482</v>
      </c>
      <c r="H41" s="2" t="s">
        <v>22</v>
      </c>
      <c r="I41" s="5" t="s">
        <v>54</v>
      </c>
      <c r="J41" s="2" t="s">
        <v>22</v>
      </c>
      <c r="K41" s="7"/>
    </row>
    <row r="42">
      <c r="A42" s="15" t="s">
        <v>168</v>
      </c>
      <c r="B42" s="15" t="s">
        <v>20</v>
      </c>
      <c r="C42" s="15" t="s">
        <v>171</v>
      </c>
      <c r="D42" s="15" t="s">
        <v>170</v>
      </c>
      <c r="E42" s="15" t="s">
        <v>22</v>
      </c>
      <c r="F42" s="15" t="s">
        <v>22</v>
      </c>
      <c r="G42" s="16">
        <v>45843.48501157408</v>
      </c>
      <c r="H42" s="15" t="s">
        <v>22</v>
      </c>
      <c r="I42" s="5" t="s">
        <v>54</v>
      </c>
      <c r="J42" s="15" t="s">
        <v>22</v>
      </c>
      <c r="K42" s="11"/>
    </row>
    <row r="43">
      <c r="A43" s="2" t="s">
        <v>120</v>
      </c>
      <c r="B43" s="2" t="s">
        <v>20</v>
      </c>
      <c r="C43" s="2" t="s">
        <v>116</v>
      </c>
      <c r="D43" s="2" t="s">
        <v>121</v>
      </c>
      <c r="E43" s="2" t="s">
        <v>22</v>
      </c>
      <c r="F43" s="2" t="s">
        <v>22</v>
      </c>
      <c r="G43" s="14">
        <v>45858.867743055554</v>
      </c>
      <c r="H43" s="2" t="s">
        <v>22</v>
      </c>
      <c r="I43" s="5" t="s">
        <v>54</v>
      </c>
      <c r="J43" s="2" t="s">
        <v>22</v>
      </c>
      <c r="K43" s="7"/>
    </row>
    <row r="44">
      <c r="A44" s="2" t="s">
        <v>172</v>
      </c>
      <c r="B44" s="2" t="s">
        <v>20</v>
      </c>
      <c r="C44" s="2" t="s">
        <v>173</v>
      </c>
      <c r="D44" s="2" t="s">
        <v>174</v>
      </c>
      <c r="E44" s="2" t="s">
        <v>22</v>
      </c>
      <c r="F44" s="2" t="s">
        <v>22</v>
      </c>
      <c r="G44" s="14">
        <v>45866.50800925926</v>
      </c>
      <c r="H44" s="2" t="s">
        <v>22</v>
      </c>
      <c r="I44" s="5" t="s">
        <v>54</v>
      </c>
      <c r="J44" s="2" t="s">
        <v>22</v>
      </c>
      <c r="K44" s="7"/>
    </row>
    <row r="45">
      <c r="A45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